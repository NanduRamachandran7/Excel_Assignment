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8_{FFB3406F-816E-43FD-89D5-92B768BEAD7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tions" sheetId="1" r:id="rId1"/>
    <sheet name="Dataset" sheetId="2" r:id="rId2"/>
    <sheet name="AnswerShe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15" i="4" l="1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M9" i="4"/>
  <c r="M4" i="4"/>
  <c r="M18" i="4" a="1"/>
  <c r="M8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M17" i="4" a="1"/>
  <c r="M16" i="4" a="1"/>
  <c r="M14" i="4"/>
  <c r="M13" i="4"/>
  <c r="M7" i="4"/>
  <c r="M6" i="4"/>
  <c r="M5" i="4"/>
  <c r="M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<sst xmlns="http://schemas.openxmlformats.org/spreadsheetml/2006/main" count="320" uniqueCount="122">
  <si>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</si>
  <si>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</si>
  <si>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</si>
  <si>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</si>
  <si>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</si>
  <si>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</si>
  <si>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</si>
  <si>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</si>
  <si>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</si>
  <si>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</si>
  <si>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</si>
  <si>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</si>
  <si>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</si>
  <si>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</si>
  <si>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</si>
  <si>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</si>
  <si>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</si>
  <si>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</si>
  <si>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</si>
  <si>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</si>
  <si>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</si>
  <si>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</si>
  <si>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</si>
  <si>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</si>
  <si>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</si>
  <si>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</si>
  <si>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</si>
  <si>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</si>
  <si>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</si>
  <si>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</si>
  <si>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</si>
  <si>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</si>
  <si>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</si>
  <si>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</si>
  <si>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</si>
  <si>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</si>
  <si>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</si>
  <si>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</si>
  <si>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</si>
  <si>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</si>
  <si>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</si>
  <si>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</si>
  <si>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</si>
  <si>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</si>
  <si>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</si>
  <si>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</si>
  <si>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</si>
  <si>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</si>
  <si>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</si>
  <si>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</si>
  <si>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</si>
  <si>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</si>
  <si>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</si>
  <si>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</si>
  <si>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</si>
  <si>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</si>
  <si>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</si>
  <si>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</si>
  <si>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</si>
  <si>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</si>
  <si>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</si>
  <si>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</si>
  <si>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</si>
  <si>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</si>
  <si>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</si>
  <si>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</si>
  <si>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</si>
  <si>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</si>
  <si>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</si>
  <si>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</si>
  <si>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</si>
  <si>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</si>
  <si>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</si>
  <si>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</si>
  <si>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</si>
  <si>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</si>
  <si>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</si>
  <si>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</si>
  <si>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</si>
  <si>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</si>
  <si>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</si>
  <si>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</si>
  <si>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</si>
  <si>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</si>
  <si>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</si>
  <si>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</si>
  <si>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</si>
  <si>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</si>
  <si>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</si>
  <si>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</si>
  <si>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</si>
  <si>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</si>
  <si>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</si>
  <si>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</si>
  <si>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</si>
  <si>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</si>
  <si>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</si>
  <si>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</si>
  <si>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</si>
  <si>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</si>
  <si>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</si>
  <si>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</si>
  <si>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</si>
  <si>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</si>
  <si>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</si>
  <si>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</si>
  <si>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</si>
  <si>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</si>
  <si>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</si>
  <si>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</si>
  <si>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price of all the products</t>
  </si>
  <si>
    <t>Total price of all the products</t>
  </si>
  <si>
    <t>No.of products</t>
  </si>
  <si>
    <t>Price Range</t>
  </si>
  <si>
    <t>Minumium price</t>
  </si>
  <si>
    <t>Maximum price</t>
  </si>
  <si>
    <t>Normally</t>
  </si>
  <si>
    <t>Price * Quantity</t>
  </si>
  <si>
    <t>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</si>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</sst>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/>
    <xf numFmtId="0" fontId="0" fillId="5" borderId="2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49" fontId="6" fillId="0" borderId="0" xfId="0" applyNumberFormat="1" applyFont="1"/>
    <xf numFmtId="49" fontId="6" fillId="3" borderId="0" xfId="0" applyNumberFormat="1" applyFont="1" applyFill="1"/>
    <xf numFmtId="2" fontId="6" fillId="0" borderId="0" xfId="0" applyNumberFormat="1" applyFont="1" applyAlignment="1">
      <alignment horizontal="right"/>
    </xf>
    <xf numFmtId="2" fontId="6" fillId="3" borderId="0" xfId="0" applyNumberFormat="1" applyFont="1" applyFill="1" applyAlignment="1">
      <alignment horizontal="righ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H7" sqref="H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F9A-9244-4538-B7EE-5C48C2D3FAFD}">
  <sheetPr>
    <outlinePr summaryBelow="0" summaryRight="0"/>
  </sheetPr>
  <dimension ref="A1:M1000"/>
  <sheetViews>
    <sheetView tabSelected="1" zoomScale="85" zoomScaleNormal="85" workbookViewId="0">
      <selection activeCell="J3" sqref="J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5.6640625" customWidth="1"/>
    <col min="8" max="8" width="8.33203125" customWidth="1"/>
    <col min="9" max="9" width="13.5546875" bestFit="1" customWidth="1"/>
    <col min="10" max="10" width="8.33203125" customWidth="1"/>
    <col min="11" max="11" width="30" bestFit="1" customWidth="1"/>
    <col min="12" max="12" width="31.77734375" bestFit="1" customWidth="1"/>
    <col min="13" max="13" width="12.44140625" bestFit="1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113</v>
      </c>
      <c r="H1" s="5" t="s">
        <v>119</v>
      </c>
      <c r="I1" s="14" t="s">
        <v>120</v>
      </c>
      <c r="J1" s="14" t="s">
        <v>121</v>
      </c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5" t="str">
        <f>IF(D2&gt;=500,"High Price","Standard Price")</f>
        <v>High Price</v>
      </c>
      <c r="H2" s="17" t="str">
        <f>LEFT(A2,2)</f>
        <v>28</v>
      </c>
      <c r="I2" s="15" t="str">
        <f>RIGHT(A2,2)</f>
        <v>US</v>
      </c>
      <c r="J2" s="15" t="str">
        <f>MID(A2,4,3)</f>
        <v>JAN</v>
      </c>
      <c r="L2" s="10" t="s">
        <v>116</v>
      </c>
      <c r="M2" s="10"/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6" t="str">
        <f t="shared" ref="G3:H35" si="0">IF(D3&gt;=500,"High Price","Standard Price")</f>
        <v>Standard Price</v>
      </c>
      <c r="H3" s="18" t="str">
        <f t="shared" ref="H3:H35" si="1">LEFT(A3,2)</f>
        <v>15</v>
      </c>
      <c r="I3" s="16" t="str">
        <f t="shared" ref="I3:I35" si="2">RIGHT(A3,2)</f>
        <v>US</v>
      </c>
      <c r="J3" s="16" t="str">
        <f t="shared" ref="J3:J35" si="3">MID(A3,4,3)</f>
        <v>FEB</v>
      </c>
      <c r="L3" s="11" t="s">
        <v>111</v>
      </c>
      <c r="M3" s="12">
        <f>SUM(D2:D35)</f>
        <v>10100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5" t="str">
        <f t="shared" si="0"/>
        <v>Standard Price</v>
      </c>
      <c r="H4" s="17" t="str">
        <f t="shared" si="1"/>
        <v>03</v>
      </c>
      <c r="I4" s="15" t="str">
        <f t="shared" si="2"/>
        <v>US</v>
      </c>
      <c r="J4" s="15" t="str">
        <f t="shared" si="3"/>
        <v>MAR</v>
      </c>
      <c r="L4" s="11" t="s">
        <v>112</v>
      </c>
      <c r="M4" s="12">
        <f>COUNTA(B2:B35)</f>
        <v>34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6" t="str">
        <f t="shared" si="0"/>
        <v>High Price</v>
      </c>
      <c r="H5" s="18" t="str">
        <f t="shared" si="1"/>
        <v>11</v>
      </c>
      <c r="I5" s="16" t="str">
        <f t="shared" si="2"/>
        <v>US</v>
      </c>
      <c r="J5" s="16" t="str">
        <f t="shared" si="3"/>
        <v>APR</v>
      </c>
      <c r="L5" s="11" t="s">
        <v>110</v>
      </c>
      <c r="M5" s="12">
        <f>AVERAGE(D2:D35)</f>
        <v>297.05882352941177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5" t="str">
        <f t="shared" si="0"/>
        <v>Standard Price</v>
      </c>
      <c r="H6" s="17" t="str">
        <f t="shared" si="1"/>
        <v>22</v>
      </c>
      <c r="I6" s="15" t="str">
        <f t="shared" si="2"/>
        <v>US</v>
      </c>
      <c r="J6" s="15" t="str">
        <f t="shared" si="3"/>
        <v>MAY</v>
      </c>
      <c r="L6" s="11" t="s">
        <v>114</v>
      </c>
      <c r="M6" s="12">
        <f>MIN(D2:D35)</f>
        <v>30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6" t="str">
        <f t="shared" si="0"/>
        <v>Standard Price</v>
      </c>
      <c r="H7" s="18" t="str">
        <f t="shared" si="1"/>
        <v>07</v>
      </c>
      <c r="I7" s="16" t="str">
        <f t="shared" si="2"/>
        <v>UK</v>
      </c>
      <c r="J7" s="16" t="str">
        <f t="shared" si="3"/>
        <v>JUN</v>
      </c>
      <c r="L7" s="11" t="s">
        <v>115</v>
      </c>
      <c r="M7" s="12">
        <f>MAX(D2:D35)</f>
        <v>1000</v>
      </c>
    </row>
    <row r="8" spans="1:13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5" t="str">
        <f t="shared" si="0"/>
        <v>Standard Price</v>
      </c>
      <c r="H8" s="17" t="str">
        <f t="shared" si="1"/>
        <v>19</v>
      </c>
      <c r="I8" s="15" t="str">
        <f t="shared" si="2"/>
        <v>UK</v>
      </c>
      <c r="J8" s="15" t="str">
        <f t="shared" si="3"/>
        <v>JUL</v>
      </c>
      <c r="L8" s="11" t="s">
        <v>26</v>
      </c>
      <c r="M8" s="12">
        <f>SUMIF(F2:F35,L8,D2:D35)</f>
        <v>8050</v>
      </c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6" t="str">
        <f t="shared" si="0"/>
        <v>Standard Price</v>
      </c>
      <c r="H9" s="18" t="str">
        <f t="shared" si="1"/>
        <v>23</v>
      </c>
      <c r="I9" s="16" t="str">
        <f t="shared" si="2"/>
        <v>UK</v>
      </c>
      <c r="J9" s="16" t="str">
        <f t="shared" si="3"/>
        <v>AUG</v>
      </c>
      <c r="L9" s="11" t="s">
        <v>118</v>
      </c>
      <c r="M9" s="19">
        <f>COUNTIF(D2:D35,"&lt;100")</f>
        <v>11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5" t="str">
        <f t="shared" si="0"/>
        <v>High Price</v>
      </c>
      <c r="H10" s="17" t="str">
        <f t="shared" si="1"/>
        <v>05</v>
      </c>
      <c r="I10" s="15" t="str">
        <f t="shared" si="2"/>
        <v>UK</v>
      </c>
      <c r="J10" s="15" t="str">
        <f t="shared" si="3"/>
        <v>SEP</v>
      </c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6" t="str">
        <f t="shared" si="0"/>
        <v>Standard Price</v>
      </c>
      <c r="H11" s="18" t="str">
        <f t="shared" si="1"/>
        <v>14</v>
      </c>
      <c r="I11" s="16" t="str">
        <f t="shared" si="2"/>
        <v>UK</v>
      </c>
      <c r="J11" s="16" t="str">
        <f t="shared" si="3"/>
        <v>OCT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5" t="str">
        <f t="shared" si="0"/>
        <v>High Price</v>
      </c>
      <c r="H12" s="17" t="str">
        <f t="shared" si="1"/>
        <v>17</v>
      </c>
      <c r="I12" s="15" t="str">
        <f t="shared" si="2"/>
        <v>IN</v>
      </c>
      <c r="J12" s="15" t="str">
        <f t="shared" si="3"/>
        <v>JUN</v>
      </c>
      <c r="L12" s="13" t="s">
        <v>117</v>
      </c>
      <c r="M12" s="13"/>
    </row>
    <row r="13" spans="1:13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6" t="str">
        <f t="shared" si="0"/>
        <v>Standard Price</v>
      </c>
      <c r="H13" s="18" t="str">
        <f t="shared" si="1"/>
        <v>25</v>
      </c>
      <c r="I13" s="16" t="str">
        <f t="shared" si="2"/>
        <v>AU</v>
      </c>
      <c r="J13" s="16" t="str">
        <f t="shared" si="3"/>
        <v>NOV</v>
      </c>
      <c r="L13" s="11" t="s">
        <v>111</v>
      </c>
      <c r="M13" s="12">
        <f>SUMPRODUCT(D2:D35,E2:E35)</f>
        <v>289700</v>
      </c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5" t="str">
        <f t="shared" si="0"/>
        <v>Standard Price</v>
      </c>
      <c r="H14" s="17" t="str">
        <f t="shared" si="1"/>
        <v>08</v>
      </c>
      <c r="I14" s="15" t="str">
        <f t="shared" si="2"/>
        <v>DE</v>
      </c>
      <c r="J14" s="15" t="str">
        <f t="shared" si="3"/>
        <v>DEC</v>
      </c>
      <c r="L14" s="11" t="s">
        <v>112</v>
      </c>
      <c r="M14" s="12">
        <f>SUM(E2:E35)</f>
        <v>900</v>
      </c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6" t="str">
        <f t="shared" si="0"/>
        <v>Standard Price</v>
      </c>
      <c r="H15" s="18" t="str">
        <f t="shared" si="1"/>
        <v>18</v>
      </c>
      <c r="I15" s="16" t="str">
        <f t="shared" si="2"/>
        <v>CA</v>
      </c>
      <c r="J15" s="16" t="str">
        <f t="shared" si="3"/>
        <v>FEB</v>
      </c>
      <c r="L15" s="11" t="s">
        <v>110</v>
      </c>
      <c r="M15" s="12">
        <f>SUMPRODUCT(D2:D35,E2:E35)/SUM(E2:E35)</f>
        <v>321.88888888888891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5" t="str">
        <f t="shared" si="0"/>
        <v>Standard Price</v>
      </c>
      <c r="H16" s="17" t="str">
        <f t="shared" si="1"/>
        <v>16</v>
      </c>
      <c r="I16" s="15" t="str">
        <f t="shared" si="2"/>
        <v>ES</v>
      </c>
      <c r="J16" s="15" t="str">
        <f t="shared" si="3"/>
        <v>APR</v>
      </c>
      <c r="L16" s="11" t="s">
        <v>114</v>
      </c>
      <c r="M16" s="12" cm="1">
        <f t="array" ref="M16">MIN(D2:D35*E2:E35)</f>
        <v>150</v>
      </c>
    </row>
    <row r="17" spans="1:13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6" t="str">
        <f t="shared" si="0"/>
        <v>Standard Price</v>
      </c>
      <c r="H17" s="18" t="str">
        <f t="shared" si="1"/>
        <v>21</v>
      </c>
      <c r="I17" s="16" t="str">
        <f t="shared" si="2"/>
        <v>CA</v>
      </c>
      <c r="J17" s="16" t="str">
        <f t="shared" si="3"/>
        <v>AUG</v>
      </c>
      <c r="L17" s="11" t="s">
        <v>115</v>
      </c>
      <c r="M17" s="12" cm="1">
        <f t="array" ref="M17">MAX(D2:D35*E2:E35)</f>
        <v>36000</v>
      </c>
    </row>
    <row r="18" spans="1:13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5" t="str">
        <f t="shared" si="0"/>
        <v>Standard Price</v>
      </c>
      <c r="H18" s="17" t="str">
        <f t="shared" si="1"/>
        <v>20</v>
      </c>
      <c r="I18" s="15" t="str">
        <f t="shared" si="2"/>
        <v>CN</v>
      </c>
      <c r="J18" s="15" t="str">
        <f t="shared" si="3"/>
        <v>AUG</v>
      </c>
      <c r="L18" s="11" t="s">
        <v>26</v>
      </c>
      <c r="M18" s="12" cm="1">
        <f t="array" ref="M18">SUMPRODUCT((F2:F35=L18)*D2:D35*E2:E35)</f>
        <v>234200</v>
      </c>
    </row>
    <row r="19" spans="1:13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6" t="str">
        <f t="shared" si="0"/>
        <v>High Price</v>
      </c>
      <c r="H19" s="18" t="str">
        <f t="shared" si="1"/>
        <v>27</v>
      </c>
      <c r="I19" s="16" t="str">
        <f t="shared" si="2"/>
        <v>IT</v>
      </c>
      <c r="J19" s="16" t="str">
        <f t="shared" si="3"/>
        <v>JAN</v>
      </c>
    </row>
    <row r="20" spans="1:13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5" t="str">
        <f t="shared" si="0"/>
        <v>Standard Price</v>
      </c>
      <c r="H20" s="17" t="str">
        <f t="shared" si="1"/>
        <v>01</v>
      </c>
      <c r="I20" s="15" t="str">
        <f t="shared" si="2"/>
        <v>UK</v>
      </c>
      <c r="J20" s="15" t="str">
        <f t="shared" si="3"/>
        <v>MAR</v>
      </c>
    </row>
    <row r="21" spans="1:13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6" t="str">
        <f t="shared" si="0"/>
        <v>Standard Price</v>
      </c>
      <c r="H21" s="18" t="str">
        <f t="shared" si="1"/>
        <v>14</v>
      </c>
      <c r="I21" s="16" t="str">
        <f t="shared" si="2"/>
        <v>US</v>
      </c>
      <c r="J21" s="16" t="str">
        <f t="shared" si="3"/>
        <v>AUG</v>
      </c>
    </row>
    <row r="22" spans="1:13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5" t="str">
        <f t="shared" si="0"/>
        <v>High Price</v>
      </c>
      <c r="H22" s="17" t="str">
        <f t="shared" si="1"/>
        <v>14</v>
      </c>
      <c r="I22" s="15" t="str">
        <f t="shared" si="2"/>
        <v>RU</v>
      </c>
      <c r="J22" s="15" t="str">
        <f t="shared" si="3"/>
        <v>MAY</v>
      </c>
    </row>
    <row r="23" spans="1:13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6" t="str">
        <f t="shared" si="0"/>
        <v>Standard Price</v>
      </c>
      <c r="H23" s="18" t="str">
        <f t="shared" si="1"/>
        <v>09</v>
      </c>
      <c r="I23" s="16" t="str">
        <f t="shared" si="2"/>
        <v>CA</v>
      </c>
      <c r="J23" s="16" t="str">
        <f t="shared" si="3"/>
        <v>JAN</v>
      </c>
    </row>
    <row r="24" spans="1:13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5" t="str">
        <f t="shared" si="0"/>
        <v>Standard Price</v>
      </c>
      <c r="H24" s="17" t="str">
        <f t="shared" si="1"/>
        <v>19</v>
      </c>
      <c r="I24" s="15" t="str">
        <f t="shared" si="2"/>
        <v>BR</v>
      </c>
      <c r="J24" s="15" t="str">
        <f t="shared" si="3"/>
        <v>JUL</v>
      </c>
    </row>
    <row r="25" spans="1:13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6" t="str">
        <f t="shared" si="0"/>
        <v>Standard Price</v>
      </c>
      <c r="H25" s="18" t="str">
        <f t="shared" si="1"/>
        <v>21</v>
      </c>
      <c r="I25" s="16" t="str">
        <f t="shared" si="2"/>
        <v>CA</v>
      </c>
      <c r="J25" s="16" t="str">
        <f t="shared" si="3"/>
        <v>AUG</v>
      </c>
    </row>
    <row r="26" spans="1:13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5" t="str">
        <f t="shared" si="0"/>
        <v>High Price</v>
      </c>
      <c r="H26" s="17" t="str">
        <f t="shared" si="1"/>
        <v>29</v>
      </c>
      <c r="I26" s="15" t="str">
        <f t="shared" si="2"/>
        <v>CA</v>
      </c>
      <c r="J26" s="15" t="str">
        <f t="shared" si="3"/>
        <v>SEP</v>
      </c>
    </row>
    <row r="27" spans="1:13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6" t="str">
        <f t="shared" si="0"/>
        <v>Standard Price</v>
      </c>
      <c r="H27" s="18" t="str">
        <f t="shared" si="1"/>
        <v>03</v>
      </c>
      <c r="I27" s="16" t="str">
        <f t="shared" si="2"/>
        <v>CA</v>
      </c>
      <c r="J27" s="16" t="str">
        <f t="shared" si="3"/>
        <v>JUN</v>
      </c>
    </row>
    <row r="28" spans="1:13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5" t="str">
        <f t="shared" si="0"/>
        <v>Standard Price</v>
      </c>
      <c r="H28" s="17" t="str">
        <f t="shared" si="1"/>
        <v>11</v>
      </c>
      <c r="I28" s="15" t="str">
        <f t="shared" si="2"/>
        <v>CA</v>
      </c>
      <c r="J28" s="15" t="str">
        <f t="shared" si="3"/>
        <v>JUL</v>
      </c>
    </row>
    <row r="29" spans="1:13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6" t="str">
        <f t="shared" si="0"/>
        <v>Standard Price</v>
      </c>
      <c r="H29" s="18" t="str">
        <f t="shared" si="1"/>
        <v>16</v>
      </c>
      <c r="I29" s="16" t="str">
        <f t="shared" si="2"/>
        <v>ES</v>
      </c>
      <c r="J29" s="16" t="str">
        <f t="shared" si="3"/>
        <v>APR</v>
      </c>
    </row>
    <row r="30" spans="1:13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5" t="str">
        <f t="shared" si="0"/>
        <v>Standard Price</v>
      </c>
      <c r="H30" s="17" t="str">
        <f t="shared" si="1"/>
        <v>07</v>
      </c>
      <c r="I30" s="15" t="str">
        <f t="shared" si="2"/>
        <v>CA</v>
      </c>
      <c r="J30" s="15" t="str">
        <f t="shared" si="3"/>
        <v>MAR</v>
      </c>
    </row>
    <row r="31" spans="1:13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6" t="str">
        <f t="shared" si="0"/>
        <v>Standard Price</v>
      </c>
      <c r="H31" s="18" t="str">
        <f t="shared" si="1"/>
        <v>13</v>
      </c>
      <c r="I31" s="16" t="str">
        <f t="shared" si="2"/>
        <v>CA</v>
      </c>
      <c r="J31" s="16" t="str">
        <f t="shared" si="3"/>
        <v>APR</v>
      </c>
    </row>
    <row r="32" spans="1:13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5" t="str">
        <f t="shared" si="0"/>
        <v>Standard Price</v>
      </c>
      <c r="H32" s="17" t="str">
        <f t="shared" si="1"/>
        <v>24</v>
      </c>
      <c r="I32" s="15" t="str">
        <f t="shared" si="2"/>
        <v>CA</v>
      </c>
      <c r="J32" s="15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6" t="str">
        <f t="shared" si="0"/>
        <v>Standard Price</v>
      </c>
      <c r="H33" s="18" t="str">
        <f t="shared" si="1"/>
        <v>02</v>
      </c>
      <c r="I33" s="16" t="str">
        <f t="shared" si="2"/>
        <v>CA</v>
      </c>
      <c r="J33" s="16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5" t="str">
        <f t="shared" si="0"/>
        <v>High Price</v>
      </c>
      <c r="H34" s="17" t="str">
        <f t="shared" si="1"/>
        <v>17</v>
      </c>
      <c r="I34" s="15" t="str">
        <f t="shared" si="2"/>
        <v>IN</v>
      </c>
      <c r="J34" s="15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6" t="str">
        <f t="shared" si="0"/>
        <v>Standard Price</v>
      </c>
      <c r="H35" s="18" t="str">
        <f t="shared" si="1"/>
        <v>09</v>
      </c>
      <c r="I35" s="16" t="str">
        <f t="shared" si="2"/>
        <v>FR</v>
      </c>
      <c r="J35" s="16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L2:M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 Ramachandran</dc:creator>
  <cp:lastModifiedBy>ramachandrannandu7@gmail.com</cp:lastModifiedBy>
  <dcterms:created xsi:type="dcterms:W3CDTF">2026-09-11T13:37:09Z</dcterms:created>
  <dcterms:modified xsi:type="dcterms:W3CDTF">2026-09-11T13:37:09Z</dcterms:modified>
</cp:coreProperties>
</file>