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Data analytics\Excel_Assignment_2\"/>
    </mc:Choice>
  </mc:AlternateContent>
  <xr:revisionPtr revIDLastSave="0" documentId="8_{2C621062-7C55-4C95-8DCA-E81D1714DFC3}" xr6:coauthVersionLast="47" xr6:coauthVersionMax="47" xr10:uidLastSave="{00000000-0000-0000-0000-000000000000}"/>
  <bookViews>
    <workbookView xWindow="-108" yWindow="-108" windowWidth="23256" windowHeight="13176" activeTab="2" xr2:uid="{00000000-000D-0000-FFFF-FFFF00000000}"/>
  </bookViews>
  <sheets>
    <sheet name="Instructions" sheetId="1" r:id="rId1"/>
    <sheet name="DataSet" sheetId="3" r:id="rId2"/>
    <sheet name="AnswerSheet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rIR6213FxEpgZ/k1UDjxyMHI45/G9Bc960XOAAH4UN4="/>
    </ext>
  </extLst>
</workbook>
</file>

<file path=xl/calcChain.xml><?xml version="1.0" encoding="utf-8"?>
<calcChain xmlns="http://schemas.openxmlformats.org/spreadsheetml/2006/main">
  <c r="I3" i="2" l="1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2" i="2"/>
  <c r="F6" i="2"/>
  <c r="F13" i="2"/>
  <c r="F14" i="2"/>
  <c r="F24" i="2"/>
  <c r="M14" i="2" a="1"/>
  <c r="M13" i="2"/>
  <c r="M12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<sst xmlns="http://schemas.openxmlformats.org/spreadsheetml/2006/main" count="326" uniqueCount="139">
  <si>
    <t>Perform the following in the dataset from the 'Dataset' sheet.</t>
  </si>
  <si>
    <t>1) Handling Missing Values:</t>
  </si>
  <si>
    <t>• Check for missing values in the 'Price' column. How would you handle products with missing price information?</t>
  </si>
  <si>
    <t>• If there are products with missing categories, propose a strategy to impute or deal with these missing values effectively.</t>
  </si>
  <si>
    <t>2) Correcting Inconsistent Data:</t>
  </si>
  <si>
    <t>• Identify any inconsistent text formats present in the "Product Name" column.</t>
  </si>
  <si>
    <t>• Identify any typos present in the "Category" column.</t>
  </si>
  <si>
    <t>• Use the find and replace function to standardize the text formats in the "Product Name" column and fix any typos or misspellings in the "Category" column.</t>
  </si>
  <si>
    <t>3) Removing Duplicates:</t>
  </si>
  <si>
    <t>• Identify any duplicate rows within the dataset based on the entirety of each row, and remove them if any.</t>
  </si>
  <si>
    <t>4) Splitting and Merging Data:</t>
  </si>
  <si>
    <t>• Split the "Product ID" column into two separate columns for " Manufacturing Date" and "Country Code". Remove unnecessary characters, if any.</t>
  </si>
  <si>
    <t>• Merge the "Brand Name" and "Product Name" columns into one column named "Product Brand".</t>
  </si>
  <si>
    <t>5) Number Formatting:</t>
  </si>
  <si>
    <t xml:space="preserve">• Format the data type of the "Price" column to currency format. </t>
  </si>
  <si>
    <t xml:space="preserve">• Format the "Manufacturing Date" column to display dates in the "DD-MM-YYYY " format. </t>
  </si>
  <si>
    <t>6) Conditional Formatting:</t>
  </si>
  <si>
    <t>• Apply data bar or color scales conditional formatting in the "Price" column.</t>
  </si>
  <si>
    <t>• Create a custom rule for conditional formatting in the "Category" column to highlight cells where the category is "Electronics."</t>
  </si>
  <si>
    <t>Product ID</t>
  </si>
  <si>
    <t>Product Name</t>
  </si>
  <si>
    <t>Brand Name</t>
  </si>
  <si>
    <t>Price ($)</t>
  </si>
  <si>
    <t>Quantity</t>
  </si>
  <si>
    <t>Category</t>
  </si>
  <si>
    <t>28-JAN-US</t>
  </si>
  <si>
    <t>laptop</t>
  </si>
  <si>
    <t>Dell</t>
  </si>
  <si>
    <t>Electronics</t>
  </si>
  <si>
    <t>15-FEB-US</t>
  </si>
  <si>
    <t>Sneakers</t>
  </si>
  <si>
    <t>Nike</t>
  </si>
  <si>
    <t>Fashion</t>
  </si>
  <si>
    <t>03-MAR-US</t>
  </si>
  <si>
    <t>Coffee Maker</t>
  </si>
  <si>
    <t>Keurig</t>
  </si>
  <si>
    <t>Kitchen</t>
  </si>
  <si>
    <t>11-APR-US</t>
  </si>
  <si>
    <t>smartphone</t>
  </si>
  <si>
    <t>Samsung</t>
  </si>
  <si>
    <t>22-MAY-US</t>
  </si>
  <si>
    <t>Backpack</t>
  </si>
  <si>
    <t>North Face</t>
  </si>
  <si>
    <t>07-JUN-UK</t>
  </si>
  <si>
    <t>Headphones</t>
  </si>
  <si>
    <t>Sony</t>
  </si>
  <si>
    <t>Electroni</t>
  </si>
  <si>
    <t>19-JUL-UK</t>
  </si>
  <si>
    <t>T-shirt</t>
  </si>
  <si>
    <t>Adidas</t>
  </si>
  <si>
    <t>23-AUG-UK</t>
  </si>
  <si>
    <t>Blender</t>
  </si>
  <si>
    <t>Ninja</t>
  </si>
  <si>
    <t>05-SEP-UK</t>
  </si>
  <si>
    <t>Tablet</t>
  </si>
  <si>
    <t>Apple</t>
  </si>
  <si>
    <t>14-OCT-UK</t>
  </si>
  <si>
    <t>Hiking Boots</t>
  </si>
  <si>
    <t>Timberland</t>
  </si>
  <si>
    <t>Outdoor</t>
  </si>
  <si>
    <t>17-JUN-IN</t>
  </si>
  <si>
    <t>Laptop</t>
  </si>
  <si>
    <t>HP</t>
  </si>
  <si>
    <t>25-NOV-AU</t>
  </si>
  <si>
    <t>08-DEC-DE</t>
  </si>
  <si>
    <t>Nespresso</t>
  </si>
  <si>
    <t>18-FEB-CA</t>
  </si>
  <si>
    <t>Smartwatch</t>
  </si>
  <si>
    <t>Fitbit</t>
  </si>
  <si>
    <t>16-APR-ES</t>
  </si>
  <si>
    <t>headphones</t>
  </si>
  <si>
    <t>Bose</t>
  </si>
  <si>
    <t>21-AUG-CA</t>
  </si>
  <si>
    <t>Laptop Bag</t>
  </si>
  <si>
    <t>Samsonite</t>
  </si>
  <si>
    <t>Accessories</t>
  </si>
  <si>
    <t>20-AUG-CN</t>
  </si>
  <si>
    <t>Huawei</t>
  </si>
  <si>
    <t>27-JAN-IT</t>
  </si>
  <si>
    <t>Asus</t>
  </si>
  <si>
    <t>01-MAR-UK</t>
  </si>
  <si>
    <t>Sunglasses</t>
  </si>
  <si>
    <t>Oakley</t>
  </si>
  <si>
    <t>14-AUG-US</t>
  </si>
  <si>
    <t>Camping Tent</t>
  </si>
  <si>
    <t>Coleman</t>
  </si>
  <si>
    <t>14-MAY-RU</t>
  </si>
  <si>
    <t>Camera</t>
  </si>
  <si>
    <t>Nikon</t>
  </si>
  <si>
    <t>09-JAN-CA</t>
  </si>
  <si>
    <t>Microwave</t>
  </si>
  <si>
    <t>Panasonic</t>
  </si>
  <si>
    <t>19-JUL-BR</t>
  </si>
  <si>
    <t>Fitness Tracker</t>
  </si>
  <si>
    <t>Xiaomi</t>
  </si>
  <si>
    <t>29-SEP-CA</t>
  </si>
  <si>
    <t>Smartphone</t>
  </si>
  <si>
    <t>Google</t>
  </si>
  <si>
    <t>03-JUN-CA</t>
  </si>
  <si>
    <t>Ray-Ban</t>
  </si>
  <si>
    <t>11-JUL-CA</t>
  </si>
  <si>
    <t>Vitamix</t>
  </si>
  <si>
    <t>07-MAR-CA</t>
  </si>
  <si>
    <t>Dress</t>
  </si>
  <si>
    <t>Zara</t>
  </si>
  <si>
    <t>13-APR-CA</t>
  </si>
  <si>
    <t>Toaster</t>
  </si>
  <si>
    <t>Hamilton</t>
  </si>
  <si>
    <t>24-MAY-CA</t>
  </si>
  <si>
    <t>Garmin</t>
  </si>
  <si>
    <t>02-DEC-CA</t>
  </si>
  <si>
    <t>Jeans</t>
  </si>
  <si>
    <t>Levi's</t>
  </si>
  <si>
    <t>09-JUL-FR</t>
  </si>
  <si>
    <t>Watch</t>
  </si>
  <si>
    <t>Casio</t>
  </si>
  <si>
    <t>Missing value for Sunglasses</t>
  </si>
  <si>
    <t>Mean value of similar products</t>
  </si>
  <si>
    <t>Missing value for camping tent</t>
  </si>
  <si>
    <t>Median value of the outdoor products</t>
  </si>
  <si>
    <t>Price</t>
  </si>
  <si>
    <t>Missing value</t>
  </si>
  <si>
    <t>Go to Special and marked it as Not avaialable</t>
  </si>
  <si>
    <t>Missing value for Headphones</t>
  </si>
  <si>
    <t>Manufacturing Date</t>
  </si>
  <si>
    <t>Country Code</t>
  </si>
  <si>
    <t>US</t>
  </si>
  <si>
    <t>UK</t>
  </si>
  <si>
    <t>IN</t>
  </si>
  <si>
    <t>AU</t>
  </si>
  <si>
    <t>DE</t>
  </si>
  <si>
    <t>CA</t>
  </si>
  <si>
    <t>ES</t>
  </si>
  <si>
    <t>CN</t>
  </si>
  <si>
    <t>IT</t>
  </si>
  <si>
    <t>RU</t>
  </si>
  <si>
    <t>BR</t>
  </si>
  <si>
    <t>FR</t>
  </si>
  <si>
    <t>Product Brand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</si>
</sst>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8" formatCode="&quot;₹&quot;\ #,##0"/>
  </numFmts>
  <fonts count="9" x14ac:knownFonts="1">
    <font>
      <sz val="10"/>
      <color rgb="FF000000"/>
      <name val="Arial"/>
      <scheme val="minor"/>
    </font>
    <font>
      <b/>
      <sz val="11"/>
      <color theme="1"/>
      <name val="Arial"/>
      <family val="2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1"/>
      <color theme="1"/>
      <name val="Calibri"/>
      <family val="2"/>
    </font>
    <font>
      <sz val="10"/>
      <color theme="1"/>
      <name val="Arial"/>
      <family val="2"/>
    </font>
    <font>
      <sz val="11"/>
      <color theme="1"/>
      <name val="Times New Roman"/>
      <family val="1"/>
    </font>
    <font>
      <b/>
      <sz val="10"/>
      <color theme="1"/>
      <name val="Arial"/>
      <family val="2"/>
    </font>
    <font>
      <sz val="10"/>
      <color rgb="FF000000"/>
      <name val="Arial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4DD0E1"/>
        <bgColor rgb="FF4DD0E1"/>
      </patternFill>
    </fill>
    <fill>
      <patternFill patternType="solid">
        <fgColor rgb="FFE0F7FA"/>
        <bgColor rgb="FFE0F7F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2" borderId="0" xfId="0" applyFont="1" applyFill="1" applyAlignment="1">
      <alignment horizontal="center"/>
    </xf>
    <xf numFmtId="0" fontId="5" fillId="3" borderId="0" xfId="0" applyFont="1" applyFill="1"/>
    <xf numFmtId="0" fontId="8" fillId="0" borderId="0" xfId="0" applyFont="1"/>
    <xf numFmtId="0" fontId="8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49" fontId="7" fillId="2" borderId="0" xfId="0" applyNumberFormat="1" applyFont="1" applyFill="1" applyAlignment="1">
      <alignment horizontal="center"/>
    </xf>
    <xf numFmtId="49" fontId="5" fillId="0" borderId="0" xfId="0" applyNumberFormat="1" applyFont="1"/>
    <xf numFmtId="49" fontId="5" fillId="3" borderId="0" xfId="0" applyNumberFormat="1" applyFont="1" applyFill="1"/>
    <xf numFmtId="14" fontId="0" fillId="0" borderId="0" xfId="0" applyNumberFormat="1"/>
    <xf numFmtId="168" fontId="5" fillId="0" borderId="0" xfId="0" applyNumberFormat="1" applyFont="1"/>
    <xf numFmtId="168" fontId="5" fillId="3" borderId="0" xfId="0" applyNumberFormat="1" applyFont="1" applyFill="1"/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1" Type="http://schemas.openxmlformats.org/officeDocument/2006/relationships/calcChain" Target="calcChain.xml"/><Relationship Id="rId10" Type="http://schemas.openxmlformats.org/officeDocument/2006/relationships/sheetMetadata" Target="metadata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00"/>
  <sheetViews>
    <sheetView showGridLines="0" topLeftCell="A3" workbookViewId="0">
      <selection activeCell="H17" sqref="H17"/>
    </sheetView>
  </sheetViews>
  <sheetFormatPr defaultColWidth="12.6640625" defaultRowHeight="15" customHeight="1" x14ac:dyDescent="0.25"/>
  <cols>
    <col min="1" max="1" width="12.6640625" customWidth="1"/>
    <col min="2" max="2" width="7.44140625" customWidth="1"/>
    <col min="3" max="6" width="12.6640625" customWidth="1"/>
  </cols>
  <sheetData>
    <row r="1" spans="1:11" ht="15.75" customHeight="1" x14ac:dyDescent="0.25">
      <c r="A1" s="1" t="s">
        <v>0</v>
      </c>
    </row>
    <row r="2" spans="1:11" ht="15.75" customHeight="1" x14ac:dyDescent="0.25"/>
    <row r="3" spans="1:11" ht="15.75" customHeight="1" x14ac:dyDescent="0.3">
      <c r="B3" s="2" t="s">
        <v>1</v>
      </c>
    </row>
    <row r="4" spans="1:11" ht="15.75" customHeight="1" x14ac:dyDescent="0.3">
      <c r="C4" s="3" t="s">
        <v>2</v>
      </c>
    </row>
    <row r="5" spans="1:11" ht="15.75" customHeight="1" x14ac:dyDescent="0.3">
      <c r="B5" s="4"/>
      <c r="C5" s="3" t="s">
        <v>3</v>
      </c>
    </row>
    <row r="6" spans="1:11" ht="15.75" customHeight="1" x14ac:dyDescent="0.3">
      <c r="B6" s="4"/>
    </row>
    <row r="7" spans="1:11" ht="15.75" customHeight="1" x14ac:dyDescent="0.3">
      <c r="B7" s="2" t="s">
        <v>4</v>
      </c>
    </row>
    <row r="8" spans="1:11" ht="15.75" customHeight="1" x14ac:dyDescent="0.3">
      <c r="C8" s="3" t="s">
        <v>5</v>
      </c>
    </row>
    <row r="9" spans="1:11" ht="15.75" customHeight="1" x14ac:dyDescent="0.3">
      <c r="C9" s="3" t="s">
        <v>6</v>
      </c>
    </row>
    <row r="10" spans="1:11" ht="15.75" customHeight="1" x14ac:dyDescent="0.3">
      <c r="C10" s="3" t="s">
        <v>7</v>
      </c>
    </row>
    <row r="11" spans="1:11" ht="15.75" customHeight="1" x14ac:dyDescent="0.3">
      <c r="B11" s="4"/>
    </row>
    <row r="12" spans="1:11" ht="15.75" customHeight="1" x14ac:dyDescent="0.3">
      <c r="B12" s="2" t="s">
        <v>8</v>
      </c>
    </row>
    <row r="13" spans="1:11" ht="15.75" customHeight="1" x14ac:dyDescent="0.3">
      <c r="B13" s="2"/>
      <c r="C13" s="3" t="s">
        <v>9</v>
      </c>
    </row>
    <row r="14" spans="1:11" ht="15.75" customHeight="1" x14ac:dyDescent="0.25"/>
    <row r="15" spans="1:11" ht="15.75" customHeight="1" x14ac:dyDescent="0.3">
      <c r="B15" s="2" t="s">
        <v>10</v>
      </c>
      <c r="C15" s="5"/>
      <c r="D15" s="5"/>
      <c r="E15" s="5"/>
      <c r="F15" s="5"/>
      <c r="G15" s="5"/>
      <c r="H15" s="5"/>
      <c r="I15" s="5"/>
      <c r="J15" s="5"/>
      <c r="K15" s="5"/>
    </row>
    <row r="16" spans="1:11" ht="15.75" customHeight="1" x14ac:dyDescent="0.3">
      <c r="B16" s="5"/>
      <c r="C16" s="3" t="s">
        <v>11</v>
      </c>
      <c r="D16" s="5"/>
      <c r="E16" s="5"/>
      <c r="F16" s="5"/>
      <c r="G16" s="5"/>
      <c r="H16" s="5"/>
      <c r="I16" s="5"/>
      <c r="J16" s="5"/>
      <c r="K16" s="5"/>
    </row>
    <row r="17" spans="2:11" ht="15.75" customHeight="1" x14ac:dyDescent="0.3">
      <c r="B17" s="5"/>
      <c r="C17" s="3" t="s">
        <v>12</v>
      </c>
      <c r="D17" s="5"/>
      <c r="E17" s="5"/>
      <c r="F17" s="5"/>
      <c r="G17" s="5"/>
      <c r="H17" s="5"/>
      <c r="I17" s="5"/>
      <c r="J17" s="5"/>
      <c r="K17" s="5"/>
    </row>
    <row r="18" spans="2:11" ht="15.75" customHeight="1" x14ac:dyDescent="0.25">
      <c r="B18" s="5"/>
      <c r="C18" s="5"/>
      <c r="D18" s="5"/>
      <c r="E18" s="5"/>
      <c r="F18" s="5"/>
      <c r="G18" s="5"/>
      <c r="H18" s="5"/>
      <c r="I18" s="5"/>
      <c r="J18" s="5"/>
      <c r="K18" s="5"/>
    </row>
    <row r="19" spans="2:11" ht="15.75" customHeight="1" x14ac:dyDescent="0.3">
      <c r="B19" s="2" t="s">
        <v>13</v>
      </c>
      <c r="C19" s="5"/>
      <c r="D19" s="5"/>
      <c r="E19" s="5"/>
      <c r="F19" s="5"/>
      <c r="G19" s="5"/>
      <c r="H19" s="5"/>
      <c r="I19" s="5"/>
      <c r="J19" s="5"/>
      <c r="K19" s="5"/>
    </row>
    <row r="20" spans="2:11" ht="15.75" customHeight="1" x14ac:dyDescent="0.3">
      <c r="B20" s="5"/>
      <c r="C20" s="3" t="s">
        <v>14</v>
      </c>
      <c r="D20" s="5"/>
      <c r="E20" s="5"/>
      <c r="F20" s="5"/>
      <c r="G20" s="5"/>
      <c r="H20" s="5"/>
      <c r="I20" s="5"/>
      <c r="J20" s="5"/>
      <c r="K20" s="5"/>
    </row>
    <row r="21" spans="2:11" ht="15.75" customHeight="1" x14ac:dyDescent="0.3">
      <c r="B21" s="5"/>
      <c r="C21" s="3" t="s">
        <v>15</v>
      </c>
      <c r="D21" s="5"/>
      <c r="E21" s="5"/>
      <c r="F21" s="5"/>
      <c r="G21" s="5"/>
      <c r="H21" s="5"/>
      <c r="I21" s="5"/>
      <c r="J21" s="5"/>
      <c r="K21" s="5"/>
    </row>
    <row r="22" spans="2:11" ht="15.75" customHeight="1" x14ac:dyDescent="0.25">
      <c r="B22" s="5"/>
      <c r="C22" s="5"/>
      <c r="D22" s="5"/>
      <c r="E22" s="5"/>
      <c r="F22" s="5"/>
      <c r="G22" s="5"/>
      <c r="H22" s="5"/>
      <c r="I22" s="5"/>
      <c r="J22" s="5"/>
      <c r="K22" s="5"/>
    </row>
    <row r="23" spans="2:11" ht="15.75" customHeight="1" x14ac:dyDescent="0.3">
      <c r="B23" s="2" t="s">
        <v>16</v>
      </c>
      <c r="C23" s="5"/>
      <c r="D23" s="5"/>
      <c r="E23" s="5"/>
      <c r="F23" s="5"/>
      <c r="G23" s="5"/>
      <c r="H23" s="5"/>
      <c r="I23" s="5"/>
      <c r="J23" s="5"/>
      <c r="K23" s="5"/>
    </row>
    <row r="24" spans="2:11" ht="15.75" customHeight="1" x14ac:dyDescent="0.3">
      <c r="B24" s="5"/>
      <c r="C24" s="3" t="s">
        <v>17</v>
      </c>
      <c r="D24" s="5"/>
      <c r="E24" s="5"/>
      <c r="F24" s="5"/>
      <c r="G24" s="5"/>
      <c r="H24" s="5"/>
      <c r="I24" s="5"/>
      <c r="J24" s="5"/>
      <c r="K24" s="5"/>
    </row>
    <row r="25" spans="2:11" ht="15.75" customHeight="1" x14ac:dyDescent="0.3">
      <c r="B25" s="5"/>
      <c r="C25" s="3" t="s">
        <v>18</v>
      </c>
      <c r="D25" s="5"/>
      <c r="E25" s="5"/>
      <c r="F25" s="5"/>
      <c r="G25" s="5"/>
      <c r="H25" s="5"/>
      <c r="I25" s="5"/>
      <c r="J25" s="5"/>
      <c r="K25" s="5"/>
    </row>
    <row r="26" spans="2:11" ht="15.75" customHeight="1" x14ac:dyDescent="0.3">
      <c r="B26" s="5"/>
      <c r="C26" s="3"/>
      <c r="D26" s="5"/>
      <c r="E26" s="5"/>
      <c r="F26" s="5"/>
      <c r="G26" s="5"/>
      <c r="H26" s="5"/>
      <c r="I26" s="5"/>
      <c r="J26" s="5"/>
      <c r="K26" s="5"/>
    </row>
    <row r="27" spans="2:11" ht="15.75" customHeight="1" x14ac:dyDescent="0.25">
      <c r="B27" s="5"/>
      <c r="C27" s="5"/>
      <c r="D27" s="6"/>
      <c r="E27" s="5"/>
      <c r="F27" s="5"/>
      <c r="G27" s="5"/>
      <c r="H27" s="5"/>
      <c r="I27" s="5"/>
      <c r="J27" s="5"/>
      <c r="K27" s="5"/>
    </row>
    <row r="28" spans="2:11" ht="15.75" customHeight="1" x14ac:dyDescent="0.25"/>
    <row r="29" spans="2:11" ht="15.75" customHeight="1" x14ac:dyDescent="0.25"/>
    <row r="30" spans="2:11" ht="15.75" customHeight="1" x14ac:dyDescent="0.25"/>
    <row r="31" spans="2:11" ht="15.75" customHeight="1" x14ac:dyDescent="0.25"/>
    <row r="32" spans="2:11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22042C-8BFE-4D8E-8D92-3030941C712A}">
  <sheetPr>
    <outlinePr summaryBelow="0" summaryRight="0"/>
  </sheetPr>
  <dimension ref="A1:P1000"/>
  <sheetViews>
    <sheetView topLeftCell="A15" workbookViewId="0">
      <selection activeCell="H21" sqref="H21"/>
    </sheetView>
  </sheetViews>
  <sheetFormatPr defaultColWidth="12.6640625" defaultRowHeight="15" customHeight="1" x14ac:dyDescent="0.25"/>
  <cols>
    <col min="1" max="6" width="12.6640625" customWidth="1"/>
  </cols>
  <sheetData>
    <row r="1" spans="1:16" ht="15.75" customHeight="1" x14ac:dyDescent="0.25">
      <c r="A1" s="7" t="s">
        <v>19</v>
      </c>
      <c r="B1" s="7" t="s">
        <v>20</v>
      </c>
      <c r="C1" s="7" t="s">
        <v>21</v>
      </c>
      <c r="D1" s="7" t="s">
        <v>22</v>
      </c>
      <c r="E1" s="7" t="s">
        <v>23</v>
      </c>
      <c r="F1" s="7" t="s">
        <v>24</v>
      </c>
    </row>
    <row r="2" spans="1:16" ht="15.75" customHeight="1" x14ac:dyDescent="0.25">
      <c r="A2" s="5" t="s">
        <v>25</v>
      </c>
      <c r="B2" s="5" t="s">
        <v>26</v>
      </c>
      <c r="C2" s="5" t="s">
        <v>27</v>
      </c>
      <c r="D2" s="5">
        <v>1000</v>
      </c>
      <c r="E2" s="5">
        <v>30</v>
      </c>
      <c r="F2" s="5" t="s">
        <v>28</v>
      </c>
    </row>
    <row r="3" spans="1:16" ht="15.75" customHeight="1" x14ac:dyDescent="0.3">
      <c r="A3" s="8" t="s">
        <v>29</v>
      </c>
      <c r="B3" s="8" t="s">
        <v>30</v>
      </c>
      <c r="C3" s="8" t="s">
        <v>31</v>
      </c>
      <c r="D3" s="8">
        <v>80</v>
      </c>
      <c r="E3" s="8">
        <v>15</v>
      </c>
      <c r="F3" s="8" t="s">
        <v>32</v>
      </c>
      <c r="I3" s="2"/>
      <c r="J3" s="5"/>
      <c r="K3" s="5"/>
      <c r="L3" s="5"/>
      <c r="M3" s="5"/>
      <c r="N3" s="5"/>
      <c r="O3" s="5"/>
      <c r="P3" s="5"/>
    </row>
    <row r="4" spans="1:16" ht="15.75" customHeight="1" x14ac:dyDescent="0.3">
      <c r="A4" s="5" t="s">
        <v>33</v>
      </c>
      <c r="B4" s="5" t="s">
        <v>34</v>
      </c>
      <c r="C4" s="5" t="s">
        <v>35</v>
      </c>
      <c r="D4" s="5">
        <v>130</v>
      </c>
      <c r="E4" s="5">
        <v>40</v>
      </c>
      <c r="F4" s="5" t="s">
        <v>36</v>
      </c>
      <c r="I4" s="5"/>
      <c r="J4" s="3"/>
      <c r="K4" s="5"/>
      <c r="L4" s="5"/>
      <c r="M4" s="5"/>
      <c r="N4" s="5"/>
      <c r="O4" s="5"/>
      <c r="P4" s="5"/>
    </row>
    <row r="5" spans="1:16" ht="15.75" customHeight="1" x14ac:dyDescent="0.3">
      <c r="A5" s="8" t="s">
        <v>37</v>
      </c>
      <c r="B5" s="8" t="s">
        <v>38</v>
      </c>
      <c r="C5" s="8" t="s">
        <v>39</v>
      </c>
      <c r="D5" s="8">
        <v>900</v>
      </c>
      <c r="E5" s="8">
        <v>25</v>
      </c>
      <c r="F5" s="8" t="s">
        <v>28</v>
      </c>
      <c r="I5" s="5"/>
      <c r="J5" s="3"/>
      <c r="K5" s="5"/>
      <c r="L5" s="5"/>
      <c r="M5" s="5"/>
      <c r="N5" s="5"/>
      <c r="O5" s="5"/>
      <c r="P5" s="5"/>
    </row>
    <row r="6" spans="1:16" ht="15.75" customHeight="1" x14ac:dyDescent="0.25">
      <c r="A6" s="5" t="s">
        <v>40</v>
      </c>
      <c r="B6" s="5" t="s">
        <v>41</v>
      </c>
      <c r="C6" s="5" t="s">
        <v>42</v>
      </c>
      <c r="D6" s="5">
        <v>70</v>
      </c>
      <c r="E6" s="5">
        <v>20</v>
      </c>
      <c r="F6" s="5"/>
    </row>
    <row r="7" spans="1:16" ht="15.75" customHeight="1" x14ac:dyDescent="0.25">
      <c r="A7" s="8" t="s">
        <v>43</v>
      </c>
      <c r="B7" s="8" t="s">
        <v>44</v>
      </c>
      <c r="C7" s="8" t="s">
        <v>45</v>
      </c>
      <c r="D7" s="8"/>
      <c r="E7" s="8">
        <v>45</v>
      </c>
      <c r="F7" s="8" t="s">
        <v>46</v>
      </c>
    </row>
    <row r="8" spans="1:16" ht="15.75" customHeight="1" x14ac:dyDescent="0.25">
      <c r="A8" s="5" t="s">
        <v>47</v>
      </c>
      <c r="B8" s="5" t="s">
        <v>48</v>
      </c>
      <c r="C8" s="5" t="s">
        <v>49</v>
      </c>
      <c r="D8" s="5">
        <v>30</v>
      </c>
      <c r="E8" s="5">
        <v>5</v>
      </c>
      <c r="F8" s="5" t="s">
        <v>32</v>
      </c>
    </row>
    <row r="9" spans="1:16" ht="15.75" customHeight="1" x14ac:dyDescent="0.25">
      <c r="A9" s="8" t="s">
        <v>50</v>
      </c>
      <c r="B9" s="8" t="s">
        <v>51</v>
      </c>
      <c r="C9" s="8" t="s">
        <v>52</v>
      </c>
      <c r="D9" s="8">
        <v>90</v>
      </c>
      <c r="E9" s="8">
        <v>35</v>
      </c>
      <c r="F9" s="8" t="s">
        <v>36</v>
      </c>
    </row>
    <row r="10" spans="1:16" ht="15.75" customHeight="1" x14ac:dyDescent="0.25">
      <c r="A10" s="5" t="s">
        <v>53</v>
      </c>
      <c r="B10" s="5" t="s">
        <v>54</v>
      </c>
      <c r="C10" s="5" t="s">
        <v>55</v>
      </c>
      <c r="D10" s="5">
        <v>500</v>
      </c>
      <c r="E10" s="5">
        <v>50</v>
      </c>
      <c r="F10" s="5" t="s">
        <v>28</v>
      </c>
    </row>
    <row r="11" spans="1:16" ht="15.75" customHeight="1" x14ac:dyDescent="0.25">
      <c r="A11" s="8" t="s">
        <v>56</v>
      </c>
      <c r="B11" s="8" t="s">
        <v>57</v>
      </c>
      <c r="C11" s="8" t="s">
        <v>58</v>
      </c>
      <c r="D11" s="8">
        <v>130</v>
      </c>
      <c r="E11" s="8">
        <v>10</v>
      </c>
      <c r="F11" s="8" t="s">
        <v>59</v>
      </c>
    </row>
    <row r="12" spans="1:16" ht="15.75" customHeight="1" x14ac:dyDescent="0.25">
      <c r="A12" s="5" t="s">
        <v>60</v>
      </c>
      <c r="B12" s="5" t="s">
        <v>61</v>
      </c>
      <c r="C12" s="5" t="s">
        <v>62</v>
      </c>
      <c r="D12" s="5">
        <v>950</v>
      </c>
      <c r="E12" s="5">
        <v>25</v>
      </c>
      <c r="F12" s="5" t="s">
        <v>28</v>
      </c>
    </row>
    <row r="13" spans="1:16" ht="15.75" customHeight="1" x14ac:dyDescent="0.25">
      <c r="A13" s="8" t="s">
        <v>63</v>
      </c>
      <c r="B13" s="8" t="s">
        <v>30</v>
      </c>
      <c r="C13" s="8" t="s">
        <v>49</v>
      </c>
      <c r="D13" s="8">
        <v>90</v>
      </c>
      <c r="E13" s="8">
        <v>40</v>
      </c>
      <c r="F13" s="8"/>
    </row>
    <row r="14" spans="1:16" ht="15.75" customHeight="1" x14ac:dyDescent="0.25">
      <c r="A14" s="5" t="s">
        <v>64</v>
      </c>
      <c r="B14" s="5" t="s">
        <v>34</v>
      </c>
      <c r="C14" s="5" t="s">
        <v>65</v>
      </c>
      <c r="D14" s="5">
        <v>120</v>
      </c>
      <c r="E14" s="5">
        <v>35</v>
      </c>
      <c r="F14" s="5"/>
    </row>
    <row r="15" spans="1:16" ht="15.75" customHeight="1" x14ac:dyDescent="0.25">
      <c r="A15" s="8" t="s">
        <v>66</v>
      </c>
      <c r="B15" s="8" t="s">
        <v>67</v>
      </c>
      <c r="C15" s="8" t="s">
        <v>68</v>
      </c>
      <c r="D15" s="8">
        <v>150</v>
      </c>
      <c r="E15" s="8">
        <v>15</v>
      </c>
      <c r="F15" s="8" t="s">
        <v>46</v>
      </c>
    </row>
    <row r="16" spans="1:16" ht="15.75" customHeight="1" x14ac:dyDescent="0.25">
      <c r="A16" s="5" t="s">
        <v>69</v>
      </c>
      <c r="B16" s="5" t="s">
        <v>70</v>
      </c>
      <c r="C16" s="5" t="s">
        <v>71</v>
      </c>
      <c r="D16" s="5">
        <v>250</v>
      </c>
      <c r="E16" s="5">
        <v>20</v>
      </c>
      <c r="F16" s="5" t="s">
        <v>46</v>
      </c>
    </row>
    <row r="17" spans="1:6" ht="15.75" customHeight="1" x14ac:dyDescent="0.25">
      <c r="A17" s="8" t="s">
        <v>72</v>
      </c>
      <c r="B17" s="8" t="s">
        <v>73</v>
      </c>
      <c r="C17" s="8" t="s">
        <v>74</v>
      </c>
      <c r="D17" s="8">
        <v>50</v>
      </c>
      <c r="E17" s="8">
        <v>35</v>
      </c>
      <c r="F17" s="8" t="s">
        <v>75</v>
      </c>
    </row>
    <row r="18" spans="1:6" ht="15.75" customHeight="1" x14ac:dyDescent="0.25">
      <c r="A18" s="5" t="s">
        <v>76</v>
      </c>
      <c r="B18" s="5" t="s">
        <v>67</v>
      </c>
      <c r="C18" s="5" t="s">
        <v>77</v>
      </c>
      <c r="D18" s="5">
        <v>160</v>
      </c>
      <c r="E18" s="5">
        <v>15</v>
      </c>
      <c r="F18" s="5" t="s">
        <v>46</v>
      </c>
    </row>
    <row r="19" spans="1:6" ht="15.75" customHeight="1" x14ac:dyDescent="0.25">
      <c r="A19" s="8" t="s">
        <v>78</v>
      </c>
      <c r="B19" s="8" t="s">
        <v>26</v>
      </c>
      <c r="C19" s="8" t="s">
        <v>79</v>
      </c>
      <c r="D19" s="8">
        <v>980</v>
      </c>
      <c r="E19" s="8">
        <v>10</v>
      </c>
      <c r="F19" s="8" t="s">
        <v>28</v>
      </c>
    </row>
    <row r="20" spans="1:6" ht="15.75" customHeight="1" x14ac:dyDescent="0.25">
      <c r="A20" s="5" t="s">
        <v>80</v>
      </c>
      <c r="B20" s="5" t="s">
        <v>81</v>
      </c>
      <c r="C20" s="5" t="s">
        <v>82</v>
      </c>
      <c r="D20" s="5">
        <v>150</v>
      </c>
      <c r="E20" s="5">
        <v>15</v>
      </c>
      <c r="F20" s="5" t="s">
        <v>32</v>
      </c>
    </row>
    <row r="21" spans="1:6" ht="15.75" customHeight="1" x14ac:dyDescent="0.25">
      <c r="A21" s="8" t="s">
        <v>83</v>
      </c>
      <c r="B21" s="8" t="s">
        <v>84</v>
      </c>
      <c r="C21" s="8" t="s">
        <v>85</v>
      </c>
      <c r="D21" s="8"/>
      <c r="E21" s="8">
        <v>10</v>
      </c>
      <c r="F21" s="8" t="s">
        <v>59</v>
      </c>
    </row>
    <row r="22" spans="1:6" ht="15.75" customHeight="1" x14ac:dyDescent="0.25">
      <c r="A22" s="5" t="s">
        <v>86</v>
      </c>
      <c r="B22" s="5" t="s">
        <v>87</v>
      </c>
      <c r="C22" s="5" t="s">
        <v>88</v>
      </c>
      <c r="D22" s="5">
        <v>700</v>
      </c>
      <c r="E22" s="5">
        <v>50</v>
      </c>
      <c r="F22" s="5" t="s">
        <v>28</v>
      </c>
    </row>
    <row r="23" spans="1:6" ht="15.75" customHeight="1" x14ac:dyDescent="0.25">
      <c r="A23" s="8" t="s">
        <v>89</v>
      </c>
      <c r="B23" s="8" t="s">
        <v>90</v>
      </c>
      <c r="C23" s="8" t="s">
        <v>91</v>
      </c>
      <c r="D23" s="8">
        <v>80</v>
      </c>
      <c r="E23" s="8">
        <v>20</v>
      </c>
      <c r="F23" s="8" t="s">
        <v>36</v>
      </c>
    </row>
    <row r="24" spans="1:6" ht="15.75" customHeight="1" x14ac:dyDescent="0.25">
      <c r="A24" s="5" t="s">
        <v>92</v>
      </c>
      <c r="B24" s="5" t="s">
        <v>93</v>
      </c>
      <c r="C24" s="5" t="s">
        <v>94</v>
      </c>
      <c r="D24" s="5">
        <v>150</v>
      </c>
      <c r="E24" s="5">
        <v>30</v>
      </c>
      <c r="F24" s="5"/>
    </row>
    <row r="25" spans="1:6" ht="15.75" customHeight="1" x14ac:dyDescent="0.25">
      <c r="A25" s="8" t="s">
        <v>72</v>
      </c>
      <c r="B25" s="8" t="s">
        <v>73</v>
      </c>
      <c r="C25" s="8" t="s">
        <v>74</v>
      </c>
      <c r="D25" s="8">
        <v>50</v>
      </c>
      <c r="E25" s="8">
        <v>35</v>
      </c>
      <c r="F25" s="8" t="s">
        <v>75</v>
      </c>
    </row>
    <row r="26" spans="1:6" ht="15.75" customHeight="1" x14ac:dyDescent="0.25">
      <c r="A26" s="5" t="s">
        <v>95</v>
      </c>
      <c r="B26" s="5" t="s">
        <v>96</v>
      </c>
      <c r="C26" s="5" t="s">
        <v>97</v>
      </c>
      <c r="D26" s="5">
        <v>800</v>
      </c>
      <c r="E26" s="5">
        <v>45</v>
      </c>
      <c r="F26" s="5" t="s">
        <v>28</v>
      </c>
    </row>
    <row r="27" spans="1:6" ht="15.75" customHeight="1" x14ac:dyDescent="0.25">
      <c r="A27" s="8" t="s">
        <v>98</v>
      </c>
      <c r="B27" s="8" t="s">
        <v>81</v>
      </c>
      <c r="C27" s="8" t="s">
        <v>99</v>
      </c>
      <c r="D27" s="8"/>
      <c r="E27" s="8">
        <v>25</v>
      </c>
      <c r="F27" s="8" t="s">
        <v>32</v>
      </c>
    </row>
    <row r="28" spans="1:6" ht="15.75" customHeight="1" x14ac:dyDescent="0.25">
      <c r="A28" s="5" t="s">
        <v>100</v>
      </c>
      <c r="B28" s="5" t="s">
        <v>51</v>
      </c>
      <c r="C28" s="5" t="s">
        <v>101</v>
      </c>
      <c r="D28" s="5">
        <v>400</v>
      </c>
      <c r="E28" s="5">
        <v>40</v>
      </c>
      <c r="F28" s="5" t="s">
        <v>36</v>
      </c>
    </row>
    <row r="29" spans="1:6" ht="15.75" customHeight="1" x14ac:dyDescent="0.25">
      <c r="A29" s="8" t="s">
        <v>69</v>
      </c>
      <c r="B29" s="8" t="s">
        <v>70</v>
      </c>
      <c r="C29" s="8" t="s">
        <v>71</v>
      </c>
      <c r="D29" s="8">
        <v>250</v>
      </c>
      <c r="E29" s="8">
        <v>20</v>
      </c>
      <c r="F29" s="8" t="s">
        <v>46</v>
      </c>
    </row>
    <row r="30" spans="1:6" ht="15.75" customHeight="1" x14ac:dyDescent="0.25">
      <c r="A30" s="5" t="s">
        <v>102</v>
      </c>
      <c r="B30" s="5" t="s">
        <v>103</v>
      </c>
      <c r="C30" s="5" t="s">
        <v>104</v>
      </c>
      <c r="D30" s="5">
        <v>60</v>
      </c>
      <c r="E30" s="5">
        <v>30</v>
      </c>
      <c r="F30" s="5" t="s">
        <v>32</v>
      </c>
    </row>
    <row r="31" spans="1:6" ht="15.75" customHeight="1" x14ac:dyDescent="0.25">
      <c r="A31" s="8" t="s">
        <v>105</v>
      </c>
      <c r="B31" s="8" t="s">
        <v>106</v>
      </c>
      <c r="C31" s="8" t="s">
        <v>107</v>
      </c>
      <c r="D31" s="8">
        <v>40</v>
      </c>
      <c r="E31" s="8">
        <v>10</v>
      </c>
      <c r="F31" s="8" t="s">
        <v>36</v>
      </c>
    </row>
    <row r="32" spans="1:6" ht="15.75" customHeight="1" x14ac:dyDescent="0.25">
      <c r="A32" s="5" t="s">
        <v>108</v>
      </c>
      <c r="B32" s="5" t="s">
        <v>93</v>
      </c>
      <c r="C32" s="5" t="s">
        <v>109</v>
      </c>
      <c r="D32" s="5">
        <v>130</v>
      </c>
      <c r="E32" s="5">
        <v>5</v>
      </c>
      <c r="F32" s="5" t="s">
        <v>28</v>
      </c>
    </row>
    <row r="33" spans="1:6" ht="15.75" customHeight="1" x14ac:dyDescent="0.25">
      <c r="A33" s="8" t="s">
        <v>110</v>
      </c>
      <c r="B33" s="8" t="s">
        <v>111</v>
      </c>
      <c r="C33" s="8" t="s">
        <v>112</v>
      </c>
      <c r="D33" s="8">
        <v>50</v>
      </c>
      <c r="E33" s="8">
        <v>50</v>
      </c>
      <c r="F33" s="8" t="s">
        <v>32</v>
      </c>
    </row>
    <row r="34" spans="1:6" ht="15.75" customHeight="1" x14ac:dyDescent="0.25">
      <c r="A34" s="5" t="s">
        <v>60</v>
      </c>
      <c r="B34" s="5" t="s">
        <v>61</v>
      </c>
      <c r="C34" s="5" t="s">
        <v>62</v>
      </c>
      <c r="D34" s="5">
        <v>950</v>
      </c>
      <c r="E34" s="5">
        <v>25</v>
      </c>
      <c r="F34" s="5" t="s">
        <v>28</v>
      </c>
    </row>
    <row r="35" spans="1:6" ht="15.75" customHeight="1" x14ac:dyDescent="0.25">
      <c r="A35" s="8" t="s">
        <v>113</v>
      </c>
      <c r="B35" s="8" t="s">
        <v>114</v>
      </c>
      <c r="C35" s="8" t="s">
        <v>115</v>
      </c>
      <c r="D35" s="8">
        <v>100</v>
      </c>
      <c r="E35" s="8">
        <v>20</v>
      </c>
      <c r="F35" s="8" t="s">
        <v>75</v>
      </c>
    </row>
    <row r="36" spans="1:6" ht="15.75" customHeight="1" x14ac:dyDescent="0.25"/>
    <row r="37" spans="1:6" ht="15.75" customHeight="1" x14ac:dyDescent="0.25"/>
    <row r="38" spans="1:6" ht="15.75" customHeight="1" x14ac:dyDescent="0.25"/>
    <row r="39" spans="1:6" ht="15.75" customHeight="1" x14ac:dyDescent="0.25"/>
    <row r="40" spans="1:6" ht="15.75" customHeight="1" x14ac:dyDescent="0.25"/>
    <row r="41" spans="1:6" ht="15.75" customHeight="1" x14ac:dyDescent="0.25"/>
    <row r="42" spans="1:6" ht="15.75" customHeight="1" x14ac:dyDescent="0.25"/>
    <row r="43" spans="1:6" ht="15.75" customHeight="1" x14ac:dyDescent="0.25"/>
    <row r="44" spans="1:6" ht="15.75" customHeight="1" x14ac:dyDescent="0.25"/>
    <row r="45" spans="1:6" ht="15.75" customHeight="1" x14ac:dyDescent="0.25"/>
    <row r="46" spans="1:6" ht="15.75" customHeight="1" x14ac:dyDescent="0.25"/>
    <row r="47" spans="1:6" ht="15.75" customHeight="1" x14ac:dyDescent="0.25"/>
    <row r="48" spans="1:6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P1000"/>
  <sheetViews>
    <sheetView tabSelected="1" workbookViewId="0">
      <selection activeCell="J11" sqref="J11"/>
    </sheetView>
  </sheetViews>
  <sheetFormatPr defaultColWidth="12.6640625" defaultRowHeight="15" customHeight="1" x14ac:dyDescent="0.25"/>
  <cols>
    <col min="1" max="1" width="12.6640625" customWidth="1"/>
    <col min="2" max="2" width="13.6640625" bestFit="1" customWidth="1"/>
    <col min="3" max="6" width="12.6640625" customWidth="1"/>
    <col min="7" max="7" width="18.21875" bestFit="1" customWidth="1"/>
    <col min="9" max="9" width="21.5546875" bestFit="1" customWidth="1"/>
    <col min="11" max="11" width="26" bestFit="1" customWidth="1"/>
  </cols>
  <sheetData>
    <row r="1" spans="1:16" ht="15.75" customHeight="1" x14ac:dyDescent="0.25">
      <c r="A1" s="7" t="s">
        <v>19</v>
      </c>
      <c r="B1" s="13" t="s">
        <v>20</v>
      </c>
      <c r="C1" s="7" t="s">
        <v>21</v>
      </c>
      <c r="D1" s="7" t="s">
        <v>22</v>
      </c>
      <c r="E1" s="7" t="s">
        <v>23</v>
      </c>
      <c r="F1" s="7" t="s">
        <v>24</v>
      </c>
      <c r="G1" s="7" t="s">
        <v>124</v>
      </c>
      <c r="H1" s="7" t="s">
        <v>125</v>
      </c>
      <c r="I1" s="7" t="s">
        <v>138</v>
      </c>
    </row>
    <row r="2" spans="1:16" ht="15.75" customHeight="1" x14ac:dyDescent="0.25">
      <c r="A2" s="5" t="s">
        <v>25</v>
      </c>
      <c r="B2" s="14" t="s">
        <v>61</v>
      </c>
      <c r="C2" s="5" t="s">
        <v>27</v>
      </c>
      <c r="D2" s="17">
        <v>1000</v>
      </c>
      <c r="E2" s="5">
        <v>30</v>
      </c>
      <c r="F2" s="5" t="s">
        <v>28</v>
      </c>
      <c r="G2" s="16">
        <v>46050</v>
      </c>
      <c r="H2" s="9" t="s">
        <v>126</v>
      </c>
      <c r="I2" t="str">
        <f>_xlfn.TEXTJOIN("-",TRUE,B2,C2)</f>
        <v>Laptop-Dell</v>
      </c>
    </row>
    <row r="3" spans="1:16" ht="15.75" customHeight="1" x14ac:dyDescent="0.25">
      <c r="A3" s="8" t="s">
        <v>29</v>
      </c>
      <c r="B3" s="15" t="s">
        <v>30</v>
      </c>
      <c r="C3" s="8" t="s">
        <v>31</v>
      </c>
      <c r="D3" s="18">
        <v>80</v>
      </c>
      <c r="E3" s="8">
        <v>15</v>
      </c>
      <c r="F3" s="8" t="s">
        <v>32</v>
      </c>
      <c r="G3" s="16">
        <v>46068</v>
      </c>
      <c r="H3" s="9" t="s">
        <v>126</v>
      </c>
      <c r="I3" t="str">
        <f t="shared" ref="I3:I32" si="0">_xlfn.TEXTJOIN("-",TRUE,B3,C3)</f>
        <v>Sneakers-Nike</v>
      </c>
      <c r="M3" s="5"/>
      <c r="N3" s="5"/>
      <c r="O3" s="5"/>
      <c r="P3" s="5"/>
    </row>
    <row r="4" spans="1:16" ht="15.75" customHeight="1" x14ac:dyDescent="0.25">
      <c r="A4" s="5" t="s">
        <v>33</v>
      </c>
      <c r="B4" s="14" t="s">
        <v>34</v>
      </c>
      <c r="C4" s="5" t="s">
        <v>35</v>
      </c>
      <c r="D4" s="17">
        <v>130</v>
      </c>
      <c r="E4" s="5">
        <v>40</v>
      </c>
      <c r="F4" s="5" t="s">
        <v>36</v>
      </c>
      <c r="G4" s="16">
        <v>46084</v>
      </c>
      <c r="H4" s="9" t="s">
        <v>126</v>
      </c>
      <c r="I4" t="str">
        <f t="shared" si="0"/>
        <v>Coffee Maker-Keurig</v>
      </c>
      <c r="M4" s="5"/>
      <c r="N4" s="5"/>
      <c r="O4" s="5"/>
      <c r="P4" s="5"/>
    </row>
    <row r="5" spans="1:16" ht="15.75" customHeight="1" x14ac:dyDescent="0.25">
      <c r="A5" s="8" t="s">
        <v>37</v>
      </c>
      <c r="B5" s="15" t="s">
        <v>96</v>
      </c>
      <c r="C5" s="8" t="s">
        <v>39</v>
      </c>
      <c r="D5" s="18">
        <v>900</v>
      </c>
      <c r="E5" s="8">
        <v>25</v>
      </c>
      <c r="F5" s="8" t="s">
        <v>28</v>
      </c>
      <c r="G5" s="16">
        <v>46123</v>
      </c>
      <c r="H5" s="9" t="s">
        <v>126</v>
      </c>
      <c r="I5" t="str">
        <f t="shared" si="0"/>
        <v>Smartphone-Samsung</v>
      </c>
      <c r="M5" s="5"/>
      <c r="N5" s="5"/>
      <c r="O5" s="5"/>
      <c r="P5" s="5"/>
    </row>
    <row r="6" spans="1:16" ht="15.75" customHeight="1" x14ac:dyDescent="0.25">
      <c r="A6" s="5" t="s">
        <v>40</v>
      </c>
      <c r="B6" s="14" t="s">
        <v>41</v>
      </c>
      <c r="C6" s="5" t="s">
        <v>42</v>
      </c>
      <c r="D6" s="17">
        <v>70</v>
      </c>
      <c r="E6" s="5">
        <v>20</v>
      </c>
      <c r="F6" s="5" t="str">
        <f>"Not available"</f>
        <v>Not available</v>
      </c>
      <c r="G6" s="16">
        <v>46164</v>
      </c>
      <c r="H6" s="9" t="s">
        <v>126</v>
      </c>
      <c r="I6" t="str">
        <f t="shared" si="0"/>
        <v>Backpack-North Face</v>
      </c>
    </row>
    <row r="7" spans="1:16" ht="15.75" customHeight="1" x14ac:dyDescent="0.25">
      <c r="A7" s="8" t="s">
        <v>43</v>
      </c>
      <c r="B7" s="15" t="s">
        <v>44</v>
      </c>
      <c r="C7" s="8" t="s">
        <v>45</v>
      </c>
      <c r="D7" s="18">
        <v>250</v>
      </c>
      <c r="E7" s="8">
        <v>45</v>
      </c>
      <c r="F7" s="8" t="s">
        <v>28</v>
      </c>
      <c r="G7" s="16">
        <v>46180</v>
      </c>
      <c r="H7" s="9" t="s">
        <v>127</v>
      </c>
      <c r="I7" t="str">
        <f t="shared" si="0"/>
        <v>Headphones-Sony</v>
      </c>
    </row>
    <row r="8" spans="1:16" ht="15.75" customHeight="1" x14ac:dyDescent="0.25">
      <c r="A8" s="5" t="s">
        <v>47</v>
      </c>
      <c r="B8" s="14" t="s">
        <v>48</v>
      </c>
      <c r="C8" s="5" t="s">
        <v>49</v>
      </c>
      <c r="D8" s="17">
        <v>30</v>
      </c>
      <c r="E8" s="5">
        <v>5</v>
      </c>
      <c r="F8" s="5" t="s">
        <v>32</v>
      </c>
      <c r="G8" s="16">
        <v>46222</v>
      </c>
      <c r="H8" s="9" t="s">
        <v>127</v>
      </c>
      <c r="I8" t="str">
        <f t="shared" si="0"/>
        <v>T-shirt-Adidas</v>
      </c>
    </row>
    <row r="9" spans="1:16" ht="15.75" customHeight="1" x14ac:dyDescent="0.25">
      <c r="A9" s="8" t="s">
        <v>50</v>
      </c>
      <c r="B9" s="15" t="s">
        <v>51</v>
      </c>
      <c r="C9" s="8" t="s">
        <v>52</v>
      </c>
      <c r="D9" s="18">
        <v>90</v>
      </c>
      <c r="E9" s="8">
        <v>35</v>
      </c>
      <c r="F9" s="8" t="s">
        <v>36</v>
      </c>
      <c r="G9" s="16">
        <v>46257</v>
      </c>
      <c r="H9" s="9" t="s">
        <v>127</v>
      </c>
      <c r="I9" t="str">
        <f t="shared" si="0"/>
        <v>Blender-Ninja</v>
      </c>
    </row>
    <row r="10" spans="1:16" ht="15.75" customHeight="1" x14ac:dyDescent="0.25">
      <c r="A10" s="5" t="s">
        <v>53</v>
      </c>
      <c r="B10" s="14" t="s">
        <v>54</v>
      </c>
      <c r="C10" s="5" t="s">
        <v>55</v>
      </c>
      <c r="D10" s="17">
        <v>500</v>
      </c>
      <c r="E10" s="5">
        <v>50</v>
      </c>
      <c r="F10" s="5" t="s">
        <v>28</v>
      </c>
      <c r="G10" s="16">
        <v>46270</v>
      </c>
      <c r="H10" s="9" t="s">
        <v>127</v>
      </c>
      <c r="I10" t="str">
        <f t="shared" si="0"/>
        <v>Tablet-Apple</v>
      </c>
    </row>
    <row r="11" spans="1:16" ht="15.75" customHeight="1" x14ac:dyDescent="0.25">
      <c r="A11" s="8" t="s">
        <v>56</v>
      </c>
      <c r="B11" s="15" t="s">
        <v>57</v>
      </c>
      <c r="C11" s="8" t="s">
        <v>58</v>
      </c>
      <c r="D11" s="18">
        <v>130</v>
      </c>
      <c r="E11" s="8">
        <v>10</v>
      </c>
      <c r="F11" s="8" t="s">
        <v>59</v>
      </c>
      <c r="G11" s="16">
        <v>46309</v>
      </c>
      <c r="H11" s="9" t="s">
        <v>127</v>
      </c>
      <c r="I11" t="str">
        <f t="shared" si="0"/>
        <v>Hiking Boots-Timberland</v>
      </c>
      <c r="K11" s="10" t="s">
        <v>120</v>
      </c>
      <c r="L11" s="12"/>
      <c r="M11" s="5"/>
      <c r="N11" s="5"/>
      <c r="O11" s="5"/>
    </row>
    <row r="12" spans="1:16" ht="15.75" customHeight="1" x14ac:dyDescent="0.3">
      <c r="A12" s="5" t="s">
        <v>60</v>
      </c>
      <c r="B12" s="14" t="s">
        <v>61</v>
      </c>
      <c r="C12" s="5" t="s">
        <v>62</v>
      </c>
      <c r="D12" s="17">
        <v>950</v>
      </c>
      <c r="E12" s="5">
        <v>25</v>
      </c>
      <c r="F12" s="5" t="s">
        <v>28</v>
      </c>
      <c r="G12" s="16">
        <v>46190</v>
      </c>
      <c r="H12" s="9" t="s">
        <v>128</v>
      </c>
      <c r="I12" t="str">
        <f t="shared" si="0"/>
        <v>Laptop-HP</v>
      </c>
      <c r="K12" s="10" t="s">
        <v>123</v>
      </c>
      <c r="L12" s="10"/>
      <c r="M12" s="3">
        <f>AVERAGEIF(B2:B35,B7,D2:D35)</f>
        <v>250</v>
      </c>
      <c r="N12" s="11" t="s">
        <v>117</v>
      </c>
      <c r="O12" s="5"/>
    </row>
    <row r="13" spans="1:16" ht="15.75" customHeight="1" x14ac:dyDescent="0.3">
      <c r="A13" s="8" t="s">
        <v>63</v>
      </c>
      <c r="B13" s="15" t="s">
        <v>30</v>
      </c>
      <c r="C13" s="8" t="s">
        <v>49</v>
      </c>
      <c r="D13" s="18">
        <v>90</v>
      </c>
      <c r="E13" s="8">
        <v>40</v>
      </c>
      <c r="F13" s="8" t="str">
        <f>"Not available"</f>
        <v>Not available</v>
      </c>
      <c r="G13" s="16">
        <v>46351</v>
      </c>
      <c r="H13" s="9" t="s">
        <v>129</v>
      </c>
      <c r="I13" t="str">
        <f t="shared" si="0"/>
        <v>Sneakers-Adidas</v>
      </c>
      <c r="K13" s="10" t="s">
        <v>116</v>
      </c>
      <c r="L13" s="10"/>
      <c r="M13" s="3">
        <f>AVERAGEIF(B2:B35,B27,D2:D35)</f>
        <v>245</v>
      </c>
      <c r="N13" s="11"/>
      <c r="O13" s="5"/>
    </row>
    <row r="14" spans="1:16" ht="15.75" customHeight="1" x14ac:dyDescent="0.25">
      <c r="A14" s="5" t="s">
        <v>64</v>
      </c>
      <c r="B14" s="14" t="s">
        <v>34</v>
      </c>
      <c r="C14" s="5" t="s">
        <v>65</v>
      </c>
      <c r="D14" s="17">
        <v>120</v>
      </c>
      <c r="E14" s="5">
        <v>35</v>
      </c>
      <c r="F14" s="5" t="str">
        <f>"Not available"</f>
        <v>Not available</v>
      </c>
      <c r="G14" s="16">
        <v>46364</v>
      </c>
      <c r="H14" s="9" t="s">
        <v>130</v>
      </c>
      <c r="I14" t="str">
        <f t="shared" si="0"/>
        <v>Coffee Maker-Nespresso</v>
      </c>
      <c r="K14" s="10" t="s">
        <v>118</v>
      </c>
      <c r="L14" s="10"/>
      <c r="M14" cm="1">
        <f t="array" ref="M14">MEDIAN(IF(F2:F35="Outdoor",D2:D35))</f>
        <v>97.5</v>
      </c>
      <c r="N14" s="9" t="s">
        <v>119</v>
      </c>
    </row>
    <row r="15" spans="1:16" ht="15.75" customHeight="1" x14ac:dyDescent="0.25">
      <c r="A15" s="8" t="s">
        <v>66</v>
      </c>
      <c r="B15" s="15" t="s">
        <v>67</v>
      </c>
      <c r="C15" s="8" t="s">
        <v>68</v>
      </c>
      <c r="D15" s="18">
        <v>150</v>
      </c>
      <c r="E15" s="8">
        <v>15</v>
      </c>
      <c r="F15" s="8" t="s">
        <v>28</v>
      </c>
      <c r="G15" s="16">
        <v>46071</v>
      </c>
      <c r="H15" s="9" t="s">
        <v>131</v>
      </c>
      <c r="I15" t="str">
        <f t="shared" si="0"/>
        <v>Smartwatch-Fitbit</v>
      </c>
    </row>
    <row r="16" spans="1:16" ht="15.75" customHeight="1" x14ac:dyDescent="0.25">
      <c r="A16" s="5" t="s">
        <v>69</v>
      </c>
      <c r="B16" s="14" t="s">
        <v>44</v>
      </c>
      <c r="C16" s="5" t="s">
        <v>71</v>
      </c>
      <c r="D16" s="17">
        <v>250</v>
      </c>
      <c r="E16" s="5">
        <v>20</v>
      </c>
      <c r="F16" s="5" t="s">
        <v>28</v>
      </c>
      <c r="G16" s="16">
        <v>46128</v>
      </c>
      <c r="H16" s="9" t="s">
        <v>132</v>
      </c>
      <c r="I16" t="str">
        <f t="shared" si="0"/>
        <v>Headphones-Bose</v>
      </c>
      <c r="K16" s="10" t="s">
        <v>24</v>
      </c>
      <c r="L16" s="12"/>
    </row>
    <row r="17" spans="1:14" ht="15.75" customHeight="1" x14ac:dyDescent="0.25">
      <c r="A17" s="8" t="s">
        <v>72</v>
      </c>
      <c r="B17" s="15" t="s">
        <v>73</v>
      </c>
      <c r="C17" s="8" t="s">
        <v>74</v>
      </c>
      <c r="D17" s="18">
        <v>50</v>
      </c>
      <c r="E17" s="8">
        <v>35</v>
      </c>
      <c r="F17" s="8" t="s">
        <v>75</v>
      </c>
      <c r="G17" s="16">
        <v>46255</v>
      </c>
      <c r="H17" s="9" t="s">
        <v>131</v>
      </c>
      <c r="I17" t="str">
        <f t="shared" si="0"/>
        <v>Laptop Bag-Samsonite</v>
      </c>
      <c r="K17" s="9" t="s">
        <v>121</v>
      </c>
      <c r="L17" s="10" t="s">
        <v>122</v>
      </c>
      <c r="M17" s="10"/>
      <c r="N17" s="10"/>
    </row>
    <row r="18" spans="1:14" ht="15.75" customHeight="1" x14ac:dyDescent="0.25">
      <c r="A18" s="5" t="s">
        <v>76</v>
      </c>
      <c r="B18" s="14" t="s">
        <v>67</v>
      </c>
      <c r="C18" s="5" t="s">
        <v>77</v>
      </c>
      <c r="D18" s="17">
        <v>160</v>
      </c>
      <c r="E18" s="5">
        <v>15</v>
      </c>
      <c r="F18" s="5" t="s">
        <v>28</v>
      </c>
      <c r="G18" s="16">
        <v>46254</v>
      </c>
      <c r="H18" s="9" t="s">
        <v>133</v>
      </c>
      <c r="I18" t="str">
        <f t="shared" si="0"/>
        <v>Smartwatch-Huawei</v>
      </c>
    </row>
    <row r="19" spans="1:14" ht="15.75" customHeight="1" x14ac:dyDescent="0.25">
      <c r="A19" s="8" t="s">
        <v>78</v>
      </c>
      <c r="B19" s="15" t="s">
        <v>61</v>
      </c>
      <c r="C19" s="8" t="s">
        <v>79</v>
      </c>
      <c r="D19" s="18">
        <v>980</v>
      </c>
      <c r="E19" s="8">
        <v>10</v>
      </c>
      <c r="F19" s="8" t="s">
        <v>28</v>
      </c>
      <c r="G19" s="16">
        <v>46049</v>
      </c>
      <c r="H19" s="9" t="s">
        <v>134</v>
      </c>
      <c r="I19" t="str">
        <f t="shared" si="0"/>
        <v>Laptop-Asus</v>
      </c>
    </row>
    <row r="20" spans="1:14" ht="15.75" customHeight="1" x14ac:dyDescent="0.25">
      <c r="A20" s="5" t="s">
        <v>80</v>
      </c>
      <c r="B20" s="14" t="s">
        <v>81</v>
      </c>
      <c r="C20" s="5" t="s">
        <v>82</v>
      </c>
      <c r="D20" s="17">
        <v>150</v>
      </c>
      <c r="E20" s="5">
        <v>15</v>
      </c>
      <c r="F20" s="5" t="s">
        <v>32</v>
      </c>
      <c r="G20" s="16">
        <v>46082</v>
      </c>
      <c r="H20" s="9" t="s">
        <v>127</v>
      </c>
      <c r="I20" t="str">
        <f t="shared" si="0"/>
        <v>Sunglasses-Oakley</v>
      </c>
    </row>
    <row r="21" spans="1:14" ht="15.75" customHeight="1" x14ac:dyDescent="0.25">
      <c r="A21" s="8" t="s">
        <v>83</v>
      </c>
      <c r="B21" s="15" t="s">
        <v>84</v>
      </c>
      <c r="C21" s="8" t="s">
        <v>85</v>
      </c>
      <c r="D21" s="18">
        <v>65</v>
      </c>
      <c r="E21" s="8">
        <v>10</v>
      </c>
      <c r="F21" s="8" t="s">
        <v>59</v>
      </c>
      <c r="G21" s="16">
        <v>46248</v>
      </c>
      <c r="H21" s="9" t="s">
        <v>126</v>
      </c>
      <c r="I21" t="str">
        <f t="shared" si="0"/>
        <v>Camping Tent-Coleman</v>
      </c>
    </row>
    <row r="22" spans="1:14" ht="15.75" customHeight="1" x14ac:dyDescent="0.25">
      <c r="A22" s="5" t="s">
        <v>86</v>
      </c>
      <c r="B22" s="14" t="s">
        <v>87</v>
      </c>
      <c r="C22" s="5" t="s">
        <v>88</v>
      </c>
      <c r="D22" s="17">
        <v>700</v>
      </c>
      <c r="E22" s="5">
        <v>50</v>
      </c>
      <c r="F22" s="5" t="s">
        <v>28</v>
      </c>
      <c r="G22" s="16">
        <v>46156</v>
      </c>
      <c r="H22" s="9" t="s">
        <v>135</v>
      </c>
      <c r="I22" t="str">
        <f t="shared" si="0"/>
        <v>Camera-Nikon</v>
      </c>
    </row>
    <row r="23" spans="1:14" ht="15.75" customHeight="1" x14ac:dyDescent="0.25">
      <c r="A23" s="8" t="s">
        <v>89</v>
      </c>
      <c r="B23" s="15" t="s">
        <v>90</v>
      </c>
      <c r="C23" s="8" t="s">
        <v>91</v>
      </c>
      <c r="D23" s="18">
        <v>80</v>
      </c>
      <c r="E23" s="8">
        <v>20</v>
      </c>
      <c r="F23" s="8" t="s">
        <v>36</v>
      </c>
      <c r="G23" s="16">
        <v>46031</v>
      </c>
      <c r="H23" s="9" t="s">
        <v>131</v>
      </c>
      <c r="I23" t="str">
        <f t="shared" si="0"/>
        <v>Microwave-Panasonic</v>
      </c>
    </row>
    <row r="24" spans="1:14" ht="15.75" customHeight="1" x14ac:dyDescent="0.25">
      <c r="A24" s="5" t="s">
        <v>92</v>
      </c>
      <c r="B24" s="14" t="s">
        <v>93</v>
      </c>
      <c r="C24" s="5" t="s">
        <v>94</v>
      </c>
      <c r="D24" s="17">
        <v>150</v>
      </c>
      <c r="E24" s="5">
        <v>30</v>
      </c>
      <c r="F24" s="5" t="str">
        <f>"Not available"</f>
        <v>Not available</v>
      </c>
      <c r="G24" s="16">
        <v>46222</v>
      </c>
      <c r="H24" s="9" t="s">
        <v>136</v>
      </c>
      <c r="I24" t="str">
        <f t="shared" si="0"/>
        <v>Fitness Tracker-Xiaomi</v>
      </c>
    </row>
    <row r="25" spans="1:14" ht="15.75" customHeight="1" x14ac:dyDescent="0.25">
      <c r="A25" s="5" t="s">
        <v>95</v>
      </c>
      <c r="B25" s="14" t="s">
        <v>96</v>
      </c>
      <c r="C25" s="5" t="s">
        <v>97</v>
      </c>
      <c r="D25" s="17">
        <v>800</v>
      </c>
      <c r="E25" s="5">
        <v>45</v>
      </c>
      <c r="F25" s="5" t="s">
        <v>28</v>
      </c>
      <c r="G25" s="16">
        <v>46294</v>
      </c>
      <c r="H25" s="9" t="s">
        <v>131</v>
      </c>
      <c r="I25" t="str">
        <f t="shared" si="0"/>
        <v>Smartphone-Google</v>
      </c>
    </row>
    <row r="26" spans="1:14" ht="15.75" customHeight="1" x14ac:dyDescent="0.25">
      <c r="A26" s="8" t="s">
        <v>98</v>
      </c>
      <c r="B26" s="15" t="s">
        <v>81</v>
      </c>
      <c r="C26" s="8" t="s">
        <v>99</v>
      </c>
      <c r="D26" s="18">
        <v>150</v>
      </c>
      <c r="E26" s="8">
        <v>25</v>
      </c>
      <c r="F26" s="8" t="s">
        <v>32</v>
      </c>
      <c r="G26" s="16">
        <v>46176</v>
      </c>
      <c r="H26" s="9" t="s">
        <v>131</v>
      </c>
      <c r="I26" t="str">
        <f t="shared" si="0"/>
        <v>Sunglasses-Ray-Ban</v>
      </c>
    </row>
    <row r="27" spans="1:14" ht="15.75" customHeight="1" x14ac:dyDescent="0.25">
      <c r="A27" s="5" t="s">
        <v>100</v>
      </c>
      <c r="B27" s="14" t="s">
        <v>51</v>
      </c>
      <c r="C27" s="5" t="s">
        <v>101</v>
      </c>
      <c r="D27" s="17">
        <v>400</v>
      </c>
      <c r="E27" s="5">
        <v>40</v>
      </c>
      <c r="F27" s="5" t="s">
        <v>36</v>
      </c>
      <c r="G27" s="16">
        <v>46214</v>
      </c>
      <c r="H27" s="9" t="s">
        <v>131</v>
      </c>
      <c r="I27" t="str">
        <f t="shared" si="0"/>
        <v>Blender-Vitamix</v>
      </c>
    </row>
    <row r="28" spans="1:14" ht="15.75" customHeight="1" x14ac:dyDescent="0.25">
      <c r="A28" s="5" t="s">
        <v>102</v>
      </c>
      <c r="B28" s="14" t="s">
        <v>103</v>
      </c>
      <c r="C28" s="5" t="s">
        <v>104</v>
      </c>
      <c r="D28" s="17">
        <v>60</v>
      </c>
      <c r="E28" s="5">
        <v>30</v>
      </c>
      <c r="F28" s="5" t="s">
        <v>32</v>
      </c>
      <c r="G28" s="16">
        <v>46088</v>
      </c>
      <c r="H28" s="9" t="s">
        <v>131</v>
      </c>
      <c r="I28" t="str">
        <f t="shared" si="0"/>
        <v>Dress-Zara</v>
      </c>
    </row>
    <row r="29" spans="1:14" ht="15.75" customHeight="1" x14ac:dyDescent="0.25">
      <c r="A29" s="8" t="s">
        <v>105</v>
      </c>
      <c r="B29" s="15" t="s">
        <v>106</v>
      </c>
      <c r="C29" s="8" t="s">
        <v>107</v>
      </c>
      <c r="D29" s="18">
        <v>40</v>
      </c>
      <c r="E29" s="8">
        <v>10</v>
      </c>
      <c r="F29" s="8" t="s">
        <v>36</v>
      </c>
      <c r="G29" s="16">
        <v>46125</v>
      </c>
      <c r="H29" s="9" t="s">
        <v>131</v>
      </c>
      <c r="I29" t="str">
        <f t="shared" si="0"/>
        <v>Toaster-Hamilton</v>
      </c>
    </row>
    <row r="30" spans="1:14" ht="15.75" customHeight="1" x14ac:dyDescent="0.25">
      <c r="A30" s="5" t="s">
        <v>108</v>
      </c>
      <c r="B30" s="14" t="s">
        <v>93</v>
      </c>
      <c r="C30" s="5" t="s">
        <v>109</v>
      </c>
      <c r="D30" s="17">
        <v>130</v>
      </c>
      <c r="E30" s="5">
        <v>5</v>
      </c>
      <c r="F30" s="5" t="s">
        <v>28</v>
      </c>
      <c r="G30" s="16">
        <v>46166</v>
      </c>
      <c r="H30" s="9" t="s">
        <v>131</v>
      </c>
      <c r="I30" t="str">
        <f t="shared" si="0"/>
        <v>Fitness Tracker-Garmin</v>
      </c>
    </row>
    <row r="31" spans="1:14" ht="15.75" customHeight="1" x14ac:dyDescent="0.25">
      <c r="A31" s="8" t="s">
        <v>110</v>
      </c>
      <c r="B31" s="15" t="s">
        <v>111</v>
      </c>
      <c r="C31" s="8" t="s">
        <v>112</v>
      </c>
      <c r="D31" s="18">
        <v>50</v>
      </c>
      <c r="E31" s="8">
        <v>50</v>
      </c>
      <c r="F31" s="8" t="s">
        <v>32</v>
      </c>
      <c r="G31" s="16">
        <v>46358</v>
      </c>
      <c r="H31" s="9" t="s">
        <v>131</v>
      </c>
      <c r="I31" t="str">
        <f t="shared" si="0"/>
        <v>Jeans-Levi's</v>
      </c>
    </row>
    <row r="32" spans="1:14" ht="15.75" customHeight="1" x14ac:dyDescent="0.25">
      <c r="A32" s="8" t="s">
        <v>113</v>
      </c>
      <c r="B32" s="15" t="s">
        <v>114</v>
      </c>
      <c r="C32" s="8" t="s">
        <v>115</v>
      </c>
      <c r="D32" s="18">
        <v>100</v>
      </c>
      <c r="E32" s="8">
        <v>20</v>
      </c>
      <c r="F32" s="8" t="s">
        <v>75</v>
      </c>
      <c r="G32" s="16">
        <v>46212</v>
      </c>
      <c r="H32" s="9" t="s">
        <v>137</v>
      </c>
      <c r="I32" t="str">
        <f t="shared" si="0"/>
        <v>Watch-Casio</v>
      </c>
    </row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7">
    <mergeCell ref="L17:N17"/>
    <mergeCell ref="K12:L12"/>
    <mergeCell ref="K13:L13"/>
    <mergeCell ref="N12:N13"/>
    <mergeCell ref="K14:L14"/>
    <mergeCell ref="K11:L11"/>
    <mergeCell ref="K16:L16"/>
  </mergeCells>
  <conditionalFormatting sqref="D2:D32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{9374F14C-18B0-486F-AAF7-72274CBCC997}</x14:id>
        </ext>
      </extLst>
    </cfRule>
  </conditionalFormatting>
  <conditionalFormatting sqref="F2:F32">
    <cfRule type="cellIs" dxfId="0" priority="2" operator="equal">
      <formula>"""Electronics"""</formula>
    </cfRule>
    <cfRule type="containsText" dxfId="1" priority="1" operator="containsText" text="Electronics">
      <formula>NOT(ISERROR(SEARCH("Electronics",F2)))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374F14C-18B0-486F-AAF7-72274CBCC997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D2:D32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Instructions</vt:lpstr>
      <vt:lpstr>DataSet</vt:lpstr>
      <vt:lpstr>AnswerSheet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Nandu Ramachandran</dc:creator>
  <cp:lastModifiedBy>Nandu Ramachandran</cp:lastModifiedBy>
  <dcterms:created xsi:type="dcterms:W3CDTF">2026-09-22T06:17:56Z</dcterms:created>
  <dcterms:modified xsi:type="dcterms:W3CDTF">2026-09-22T06:17:56Z</dcterms:modified>
</cp:coreProperties>
</file>