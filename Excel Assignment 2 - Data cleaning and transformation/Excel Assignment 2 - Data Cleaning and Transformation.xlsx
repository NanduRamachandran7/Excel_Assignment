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s\Excel_Assignment_2\"/>
    </mc:Choice>
  </mc:AlternateContent>
  <xr:revisionPtr revIDLastSave="0" documentId="13_ncr:1_{B956FDBC-976A-4431-8A38-4C8D59930D3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Instructions" sheetId="1" r:id="rId1"/>
    <sheet name="DataSet" sheetId="3" r:id="rId2"/>
    <sheet name="AnswerShe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F6" i="2"/>
  <c r="F13" i="2"/>
  <c r="F14" i="2"/>
  <c r="F24" i="2"/>
  <c r="M14" i="2" a="1"/>
  <c r="M13" i="2"/>
  <c r="M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<sst xmlns="http://schemas.openxmlformats.org/spreadsheetml/2006/main" count="326" uniqueCount="139">
  <si>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</si>
  <si>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</si>
  <si>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</si>
  <si>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</si>
  <si>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</si>
  <si>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</si>
  <si>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</si>
  <si>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</si>
  <si>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</si>
  <si>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</si>
  <si>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</si>
  <si>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</si>
  <si>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</si>
  <si>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</si>
  <si>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</si>
  <si>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</si>
  <si>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</si>
  <si>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</si>
  <si>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</si>
  <si>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</si>
  <si>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</si>
  <si>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</si>
  <si>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</si>
  <si>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</si>
  <si>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</si>
  <si>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</si>
  <si>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</si>
  <si>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</si>
  <si>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</si>
  <si>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</si>
  <si>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</si>
  <si>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</si>
  <si>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</si>
  <si>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</si>
  <si>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</si>
  <si>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</si>
  <si>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</si>
  <si>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</si>
  <si>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</si>
  <si>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</si>
  <si>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</si>
  <si>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</si>
  <si>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</si>
  <si>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</si>
  <si>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</si>
  <si>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</si>
  <si>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</si>
  <si>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</si>
  <si>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</si>
  <si>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</si>
  <si>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</si>
  <si>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</si>
  <si>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</si>
  <si>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</si>
  <si>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</si>
  <si>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</si>
  <si>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</si>
  <si>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</si>
  <si>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</si>
  <si>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</si>
  <si>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</si>
  <si>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</si>
  <si>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</si>
  <si>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</si>
  <si>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</si>
  <si>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</si>
  <si>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</si>
  <si>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</si>
  <si>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</si>
  <si>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</si>
  <si>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</si>
  <si>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</si>
  <si>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</si>
  <si>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</si>
  <si>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</si>
  <si>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</si>
  <si>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</si>
  <si>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</si>
  <si>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</si>
  <si>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</si>
  <si>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</si>
  <si>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</si>
  <si>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</si>
  <si>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</si>
  <si>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</si>
  <si>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</si>
  <si>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</si>
  <si>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</si>
  <si>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</si>
  <si>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</si>
  <si>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</si>
  <si>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</si>
  <si>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</si>
  <si>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</si>
  <si>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</si>
  <si>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</si>
  <si>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</si>
  <si>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</si>
  <si>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</si>
  <si>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</si>
  <si>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</si>
  <si>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</si>
  <si>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</si>
  <si>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</si>
  <si>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</si>
  <si>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</si>
  <si>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</si>
  <si>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</si>
  <si>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</si>
  <si>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</si>
  <si>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</si>
  <si>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</si>
  <si>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</si>
  <si>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</si>
  <si>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</si>
  <si>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</si>
  <si>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value for Sunglasses</t>
  </si>
  <si>
    <t>Mean value of similar products</t>
  </si>
  <si>
    <t>Missing value for camping tent</t>
  </si>
  <si>
    <t>Median value of the outdoor products</t>
  </si>
  <si>
    <t>Price</t>
  </si>
  <si>
    <t>Missing value</t>
  </si>
  <si>
    <t>Go to Special and marked it as Not avaialable</t>
  </si>
  <si>
    <t>Missing value for Headphones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</si>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</sst>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49" fontId="7" fillId="2" borderId="0" xfId="0" applyNumberFormat="1" applyFont="1" applyFill="1" applyAlignment="1">
      <alignment horizontal="center"/>
    </xf>
    <xf numFmtId="49" fontId="5" fillId="0" borderId="0" xfId="0" applyNumberFormat="1" applyFont="1"/>
    <xf numFmtId="49" fontId="5" fillId="3" borderId="0" xfId="0" applyNumberFormat="1" applyFont="1" applyFill="1"/>
    <xf numFmtId="14" fontId="0" fillId="0" borderId="0" xfId="0" applyNumberFormat="1"/>
    <xf numFmtId="164" fontId="5" fillId="0" borderId="0" xfId="0" applyNumberFormat="1" applyFont="1"/>
    <xf numFmtId="164" fontId="5" fillId="3" borderId="0" xfId="0" applyNumberFormat="1" applyFont="1" applyFill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3" workbookViewId="0">
      <selection activeCell="H17" sqref="H1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042C-8BFE-4D8E-8D92-3030941C712A}">
  <sheetPr>
    <outlinePr summaryBelow="0" summaryRight="0"/>
  </sheetPr>
  <dimension ref="A1:P1000"/>
  <sheetViews>
    <sheetView topLeftCell="A15" workbookViewId="0">
      <selection activeCell="H21" sqref="H21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activeCell="A2" sqref="A2:I32"/>
    </sheetView>
  </sheetViews>
  <sheetFormatPr defaultColWidth="12.6640625" defaultRowHeight="15" customHeight="1" x14ac:dyDescent="0.25"/>
  <cols>
    <col min="1" max="1" width="12.6640625" customWidth="1"/>
    <col min="2" max="2" width="13.6640625" bestFit="1" customWidth="1"/>
    <col min="3" max="6" width="12.6640625" customWidth="1"/>
    <col min="7" max="7" width="18.21875" bestFit="1" customWidth="1"/>
    <col min="9" max="9" width="21.5546875" bestFit="1" customWidth="1"/>
    <col min="11" max="11" width="26" bestFit="1" customWidth="1"/>
  </cols>
  <sheetData>
    <row r="1" spans="1:16" ht="15.75" customHeight="1" x14ac:dyDescent="0.25">
      <c r="A1" s="7" t="s">
        <v>19</v>
      </c>
      <c r="B1" s="10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124</v>
      </c>
      <c r="H1" s="7" t="s">
        <v>125</v>
      </c>
      <c r="I1" s="7" t="s">
        <v>138</v>
      </c>
    </row>
    <row r="2" spans="1:16" ht="15.75" customHeight="1" x14ac:dyDescent="0.25">
      <c r="A2" s="5" t="s">
        <v>25</v>
      </c>
      <c r="B2" s="11" t="s">
        <v>61</v>
      </c>
      <c r="C2" s="5" t="s">
        <v>27</v>
      </c>
      <c r="D2" s="14">
        <v>1000</v>
      </c>
      <c r="E2" s="5">
        <v>30</v>
      </c>
      <c r="F2" s="5" t="s">
        <v>28</v>
      </c>
      <c r="G2" s="13">
        <v>46050</v>
      </c>
      <c r="H2" s="9" t="s">
        <v>126</v>
      </c>
      <c r="I2" t="str">
        <f>_xlfn.TEXTJOIN("-",TRUE,B2,C2)</f>
        <v>Laptop-Dell</v>
      </c>
    </row>
    <row r="3" spans="1:16" ht="15.75" customHeight="1" x14ac:dyDescent="0.25">
      <c r="A3" s="8" t="s">
        <v>29</v>
      </c>
      <c r="B3" s="12" t="s">
        <v>30</v>
      </c>
      <c r="C3" s="8" t="s">
        <v>31</v>
      </c>
      <c r="D3" s="15">
        <v>80</v>
      </c>
      <c r="E3" s="8">
        <v>15</v>
      </c>
      <c r="F3" s="8" t="s">
        <v>32</v>
      </c>
      <c r="G3" s="13">
        <v>46068</v>
      </c>
      <c r="H3" s="9" t="s">
        <v>126</v>
      </c>
      <c r="I3" t="str">
        <f t="shared" ref="I3:I32" si="0">_xlfn.TEXTJOIN("-",TRUE,B3,C3)</f>
        <v>Sneakers-Nike</v>
      </c>
      <c r="M3" s="5"/>
      <c r="N3" s="5"/>
      <c r="O3" s="5"/>
      <c r="P3" s="5"/>
    </row>
    <row r="4" spans="1:16" ht="15.75" customHeight="1" x14ac:dyDescent="0.25">
      <c r="A4" s="5" t="s">
        <v>33</v>
      </c>
      <c r="B4" s="11" t="s">
        <v>34</v>
      </c>
      <c r="C4" s="5" t="s">
        <v>35</v>
      </c>
      <c r="D4" s="14">
        <v>130</v>
      </c>
      <c r="E4" s="5">
        <v>40</v>
      </c>
      <c r="F4" s="5" t="s">
        <v>36</v>
      </c>
      <c r="G4" s="13">
        <v>46084</v>
      </c>
      <c r="H4" s="9" t="s">
        <v>126</v>
      </c>
      <c r="I4" t="str">
        <f t="shared" si="0"/>
        <v>Coffee Maker-Keurig</v>
      </c>
      <c r="M4" s="5"/>
      <c r="N4" s="5"/>
      <c r="O4" s="5"/>
      <c r="P4" s="5"/>
    </row>
    <row r="5" spans="1:16" ht="15.75" customHeight="1" x14ac:dyDescent="0.25">
      <c r="A5" s="8" t="s">
        <v>37</v>
      </c>
      <c r="B5" s="12" t="s">
        <v>96</v>
      </c>
      <c r="C5" s="8" t="s">
        <v>39</v>
      </c>
      <c r="D5" s="15">
        <v>900</v>
      </c>
      <c r="E5" s="8">
        <v>25</v>
      </c>
      <c r="F5" s="8" t="s">
        <v>28</v>
      </c>
      <c r="G5" s="13">
        <v>46123</v>
      </c>
      <c r="H5" s="9" t="s">
        <v>126</v>
      </c>
      <c r="I5" t="str">
        <f t="shared" si="0"/>
        <v>Smartphone-Samsung</v>
      </c>
      <c r="M5" s="5"/>
      <c r="N5" s="5"/>
      <c r="O5" s="5"/>
      <c r="P5" s="5"/>
    </row>
    <row r="6" spans="1:16" ht="15.75" customHeight="1" x14ac:dyDescent="0.25">
      <c r="A6" s="5" t="s">
        <v>40</v>
      </c>
      <c r="B6" s="11" t="s">
        <v>41</v>
      </c>
      <c r="C6" s="5" t="s">
        <v>42</v>
      </c>
      <c r="D6" s="14">
        <v>70</v>
      </c>
      <c r="E6" s="5">
        <v>20</v>
      </c>
      <c r="F6" s="5" t="str">
        <f>"Not available"</f>
        <v>Not available</v>
      </c>
      <c r="G6" s="13">
        <v>46164</v>
      </c>
      <c r="H6" s="9" t="s">
        <v>126</v>
      </c>
      <c r="I6" t="str">
        <f t="shared" si="0"/>
        <v>Backpack-North Face</v>
      </c>
    </row>
    <row r="7" spans="1:16" ht="15.75" customHeight="1" x14ac:dyDescent="0.25">
      <c r="A7" s="8" t="s">
        <v>43</v>
      </c>
      <c r="B7" s="12" t="s">
        <v>44</v>
      </c>
      <c r="C7" s="8" t="s">
        <v>45</v>
      </c>
      <c r="D7" s="15">
        <v>250</v>
      </c>
      <c r="E7" s="8">
        <v>45</v>
      </c>
      <c r="F7" s="8" t="s">
        <v>28</v>
      </c>
      <c r="G7" s="13">
        <v>46180</v>
      </c>
      <c r="H7" s="9" t="s">
        <v>127</v>
      </c>
      <c r="I7" t="str">
        <f t="shared" si="0"/>
        <v>Headphones-Sony</v>
      </c>
    </row>
    <row r="8" spans="1:16" ht="15.75" customHeight="1" x14ac:dyDescent="0.25">
      <c r="A8" s="5" t="s">
        <v>47</v>
      </c>
      <c r="B8" s="11" t="s">
        <v>48</v>
      </c>
      <c r="C8" s="5" t="s">
        <v>49</v>
      </c>
      <c r="D8" s="14">
        <v>30</v>
      </c>
      <c r="E8" s="5">
        <v>5</v>
      </c>
      <c r="F8" s="5" t="s">
        <v>32</v>
      </c>
      <c r="G8" s="13">
        <v>46222</v>
      </c>
      <c r="H8" s="9" t="s">
        <v>127</v>
      </c>
      <c r="I8" t="str">
        <f t="shared" si="0"/>
        <v>T-shirt-Adidas</v>
      </c>
    </row>
    <row r="9" spans="1:16" ht="15.75" customHeight="1" x14ac:dyDescent="0.25">
      <c r="A9" s="8" t="s">
        <v>50</v>
      </c>
      <c r="B9" s="12" t="s">
        <v>51</v>
      </c>
      <c r="C9" s="8" t="s">
        <v>52</v>
      </c>
      <c r="D9" s="15">
        <v>90</v>
      </c>
      <c r="E9" s="8">
        <v>35</v>
      </c>
      <c r="F9" s="8" t="s">
        <v>36</v>
      </c>
      <c r="G9" s="13">
        <v>46257</v>
      </c>
      <c r="H9" s="9" t="s">
        <v>127</v>
      </c>
      <c r="I9" t="str">
        <f t="shared" si="0"/>
        <v>Blender-Ninja</v>
      </c>
    </row>
    <row r="10" spans="1:16" ht="15.75" customHeight="1" x14ac:dyDescent="0.25">
      <c r="A10" s="5" t="s">
        <v>53</v>
      </c>
      <c r="B10" s="11" t="s">
        <v>54</v>
      </c>
      <c r="C10" s="5" t="s">
        <v>55</v>
      </c>
      <c r="D10" s="14">
        <v>500</v>
      </c>
      <c r="E10" s="5">
        <v>50</v>
      </c>
      <c r="F10" s="5" t="s">
        <v>28</v>
      </c>
      <c r="G10" s="13">
        <v>46270</v>
      </c>
      <c r="H10" s="9" t="s">
        <v>127</v>
      </c>
      <c r="I10" t="str">
        <f t="shared" si="0"/>
        <v>Tablet-Apple</v>
      </c>
    </row>
    <row r="11" spans="1:16" ht="15.75" customHeight="1" x14ac:dyDescent="0.25">
      <c r="A11" s="8" t="s">
        <v>56</v>
      </c>
      <c r="B11" s="12" t="s">
        <v>57</v>
      </c>
      <c r="C11" s="8" t="s">
        <v>58</v>
      </c>
      <c r="D11" s="15">
        <v>130</v>
      </c>
      <c r="E11" s="8">
        <v>10</v>
      </c>
      <c r="F11" s="8" t="s">
        <v>59</v>
      </c>
      <c r="G11" s="13">
        <v>46309</v>
      </c>
      <c r="H11" s="9" t="s">
        <v>127</v>
      </c>
      <c r="I11" t="str">
        <f t="shared" si="0"/>
        <v>Hiking Boots-Timberland</v>
      </c>
      <c r="K11" s="16" t="s">
        <v>120</v>
      </c>
      <c r="L11" s="18"/>
      <c r="M11" s="5"/>
      <c r="N11" s="5"/>
      <c r="O11" s="5"/>
    </row>
    <row r="12" spans="1:16" ht="15.75" customHeight="1" x14ac:dyDescent="0.3">
      <c r="A12" s="5" t="s">
        <v>60</v>
      </c>
      <c r="B12" s="11" t="s">
        <v>61</v>
      </c>
      <c r="C12" s="5" t="s">
        <v>62</v>
      </c>
      <c r="D12" s="14">
        <v>950</v>
      </c>
      <c r="E12" s="5">
        <v>25</v>
      </c>
      <c r="F12" s="5" t="s">
        <v>28</v>
      </c>
      <c r="G12" s="13">
        <v>46190</v>
      </c>
      <c r="H12" s="9" t="s">
        <v>128</v>
      </c>
      <c r="I12" t="str">
        <f t="shared" si="0"/>
        <v>Laptop-HP</v>
      </c>
      <c r="K12" s="16" t="s">
        <v>123</v>
      </c>
      <c r="L12" s="16"/>
      <c r="M12" s="3">
        <f>AVERAGEIF(B2:B35,B7,D2:D35)</f>
        <v>250</v>
      </c>
      <c r="N12" s="17" t="s">
        <v>117</v>
      </c>
      <c r="O12" s="5"/>
    </row>
    <row r="13" spans="1:16" ht="15.75" customHeight="1" x14ac:dyDescent="0.3">
      <c r="A13" s="8" t="s">
        <v>63</v>
      </c>
      <c r="B13" s="12" t="s">
        <v>30</v>
      </c>
      <c r="C13" s="8" t="s">
        <v>49</v>
      </c>
      <c r="D13" s="15">
        <v>90</v>
      </c>
      <c r="E13" s="8">
        <v>40</v>
      </c>
      <c r="F13" s="8" t="str">
        <f>"Not available"</f>
        <v>Not available</v>
      </c>
      <c r="G13" s="13">
        <v>46351</v>
      </c>
      <c r="H13" s="9" t="s">
        <v>129</v>
      </c>
      <c r="I13" t="str">
        <f t="shared" si="0"/>
        <v>Sneakers-Adidas</v>
      </c>
      <c r="K13" s="16" t="s">
        <v>116</v>
      </c>
      <c r="L13" s="16"/>
      <c r="M13" s="3">
        <f>AVERAGEIF(B2:B35,B27,D2:D35)</f>
        <v>245</v>
      </c>
      <c r="N13" s="17"/>
      <c r="O13" s="5"/>
    </row>
    <row r="14" spans="1:16" ht="15.75" customHeight="1" x14ac:dyDescent="0.25">
      <c r="A14" s="5" t="s">
        <v>64</v>
      </c>
      <c r="B14" s="11" t="s">
        <v>34</v>
      </c>
      <c r="C14" s="5" t="s">
        <v>65</v>
      </c>
      <c r="D14" s="14">
        <v>120</v>
      </c>
      <c r="E14" s="5">
        <v>35</v>
      </c>
      <c r="F14" s="5" t="str">
        <f>"Not available"</f>
        <v>Not available</v>
      </c>
      <c r="G14" s="13">
        <v>46364</v>
      </c>
      <c r="H14" s="9" t="s">
        <v>130</v>
      </c>
      <c r="I14" t="str">
        <f t="shared" si="0"/>
        <v>Coffee Maker-Nespresso</v>
      </c>
      <c r="K14" s="16" t="s">
        <v>118</v>
      </c>
      <c r="L14" s="16"/>
      <c r="M14" cm="1">
        <f t="array" ref="M14">MEDIAN(IF(F2:F35="Outdoor",D2:D35))</f>
        <v>97.5</v>
      </c>
      <c r="N14" s="9" t="s">
        <v>119</v>
      </c>
    </row>
    <row r="15" spans="1:16" ht="15.75" customHeight="1" x14ac:dyDescent="0.25">
      <c r="A15" s="8" t="s">
        <v>66</v>
      </c>
      <c r="B15" s="12" t="s">
        <v>67</v>
      </c>
      <c r="C15" s="8" t="s">
        <v>68</v>
      </c>
      <c r="D15" s="15">
        <v>150</v>
      </c>
      <c r="E15" s="8">
        <v>15</v>
      </c>
      <c r="F15" s="8" t="s">
        <v>28</v>
      </c>
      <c r="G15" s="13">
        <v>46071</v>
      </c>
      <c r="H15" s="9" t="s">
        <v>131</v>
      </c>
      <c r="I15" t="str">
        <f t="shared" si="0"/>
        <v>Smartwatch-Fitbit</v>
      </c>
    </row>
    <row r="16" spans="1:16" ht="15.75" customHeight="1" x14ac:dyDescent="0.25">
      <c r="A16" s="5" t="s">
        <v>69</v>
      </c>
      <c r="B16" s="11" t="s">
        <v>44</v>
      </c>
      <c r="C16" s="5" t="s">
        <v>71</v>
      </c>
      <c r="D16" s="14">
        <v>250</v>
      </c>
      <c r="E16" s="5">
        <v>20</v>
      </c>
      <c r="F16" s="5" t="s">
        <v>28</v>
      </c>
      <c r="G16" s="13">
        <v>46128</v>
      </c>
      <c r="H16" s="9" t="s">
        <v>132</v>
      </c>
      <c r="I16" t="str">
        <f t="shared" si="0"/>
        <v>Headphones-Bose</v>
      </c>
      <c r="K16" s="16" t="s">
        <v>24</v>
      </c>
      <c r="L16" s="18"/>
    </row>
    <row r="17" spans="1:14" ht="15.75" customHeight="1" x14ac:dyDescent="0.25">
      <c r="A17" s="8" t="s">
        <v>72</v>
      </c>
      <c r="B17" s="12" t="s">
        <v>73</v>
      </c>
      <c r="C17" s="8" t="s">
        <v>74</v>
      </c>
      <c r="D17" s="15">
        <v>50</v>
      </c>
      <c r="E17" s="8">
        <v>35</v>
      </c>
      <c r="F17" s="8" t="s">
        <v>75</v>
      </c>
      <c r="G17" s="13">
        <v>46255</v>
      </c>
      <c r="H17" s="9" t="s">
        <v>131</v>
      </c>
      <c r="I17" t="str">
        <f t="shared" si="0"/>
        <v>Laptop Bag-Samsonite</v>
      </c>
      <c r="K17" s="9" t="s">
        <v>121</v>
      </c>
      <c r="L17" s="16" t="s">
        <v>122</v>
      </c>
      <c r="M17" s="16"/>
      <c r="N17" s="16"/>
    </row>
    <row r="18" spans="1:14" ht="15.75" customHeight="1" x14ac:dyDescent="0.25">
      <c r="A18" s="5" t="s">
        <v>76</v>
      </c>
      <c r="B18" s="11" t="s">
        <v>67</v>
      </c>
      <c r="C18" s="5" t="s">
        <v>77</v>
      </c>
      <c r="D18" s="14">
        <v>160</v>
      </c>
      <c r="E18" s="5">
        <v>15</v>
      </c>
      <c r="F18" s="5" t="s">
        <v>28</v>
      </c>
      <c r="G18" s="13">
        <v>46254</v>
      </c>
      <c r="H18" s="9" t="s">
        <v>133</v>
      </c>
      <c r="I18" t="str">
        <f t="shared" si="0"/>
        <v>Smartwatch-Huawei</v>
      </c>
    </row>
    <row r="19" spans="1:14" ht="15.75" customHeight="1" x14ac:dyDescent="0.25">
      <c r="A19" s="8" t="s">
        <v>78</v>
      </c>
      <c r="B19" s="12" t="s">
        <v>61</v>
      </c>
      <c r="C19" s="8" t="s">
        <v>79</v>
      </c>
      <c r="D19" s="15">
        <v>980</v>
      </c>
      <c r="E19" s="8">
        <v>10</v>
      </c>
      <c r="F19" s="8" t="s">
        <v>28</v>
      </c>
      <c r="G19" s="13">
        <v>46049</v>
      </c>
      <c r="H19" s="9" t="s">
        <v>134</v>
      </c>
      <c r="I19" t="str">
        <f t="shared" si="0"/>
        <v>Laptop-Asus</v>
      </c>
    </row>
    <row r="20" spans="1:14" ht="15.75" customHeight="1" x14ac:dyDescent="0.25">
      <c r="A20" s="5" t="s">
        <v>80</v>
      </c>
      <c r="B20" s="11" t="s">
        <v>81</v>
      </c>
      <c r="C20" s="5" t="s">
        <v>82</v>
      </c>
      <c r="D20" s="14">
        <v>150</v>
      </c>
      <c r="E20" s="5">
        <v>15</v>
      </c>
      <c r="F20" s="5" t="s">
        <v>32</v>
      </c>
      <c r="G20" s="13">
        <v>46082</v>
      </c>
      <c r="H20" s="9" t="s">
        <v>127</v>
      </c>
      <c r="I20" t="str">
        <f t="shared" si="0"/>
        <v>Sunglasses-Oakley</v>
      </c>
    </row>
    <row r="21" spans="1:14" ht="15.75" customHeight="1" x14ac:dyDescent="0.25">
      <c r="A21" s="8" t="s">
        <v>83</v>
      </c>
      <c r="B21" s="12" t="s">
        <v>84</v>
      </c>
      <c r="C21" s="8" t="s">
        <v>85</v>
      </c>
      <c r="D21" s="15">
        <v>65</v>
      </c>
      <c r="E21" s="8">
        <v>10</v>
      </c>
      <c r="F21" s="8" t="s">
        <v>59</v>
      </c>
      <c r="G21" s="13">
        <v>46248</v>
      </c>
      <c r="H21" s="9" t="s">
        <v>126</v>
      </c>
      <c r="I21" t="str">
        <f t="shared" si="0"/>
        <v>Camping Tent-Coleman</v>
      </c>
    </row>
    <row r="22" spans="1:14" ht="15.75" customHeight="1" x14ac:dyDescent="0.25">
      <c r="A22" s="5" t="s">
        <v>86</v>
      </c>
      <c r="B22" s="11" t="s">
        <v>87</v>
      </c>
      <c r="C22" s="5" t="s">
        <v>88</v>
      </c>
      <c r="D22" s="14">
        <v>700</v>
      </c>
      <c r="E22" s="5">
        <v>50</v>
      </c>
      <c r="F22" s="5" t="s">
        <v>28</v>
      </c>
      <c r="G22" s="13">
        <v>46156</v>
      </c>
      <c r="H22" s="9" t="s">
        <v>135</v>
      </c>
      <c r="I22" t="str">
        <f t="shared" si="0"/>
        <v>Camera-Nikon</v>
      </c>
    </row>
    <row r="23" spans="1:14" ht="15.75" customHeight="1" x14ac:dyDescent="0.25">
      <c r="A23" s="8" t="s">
        <v>89</v>
      </c>
      <c r="B23" s="12" t="s">
        <v>90</v>
      </c>
      <c r="C23" s="8" t="s">
        <v>91</v>
      </c>
      <c r="D23" s="15">
        <v>80</v>
      </c>
      <c r="E23" s="8">
        <v>20</v>
      </c>
      <c r="F23" s="8" t="s">
        <v>36</v>
      </c>
      <c r="G23" s="13">
        <v>46031</v>
      </c>
      <c r="H23" s="9" t="s">
        <v>131</v>
      </c>
      <c r="I23" t="str">
        <f t="shared" si="0"/>
        <v>Microwave-Panasonic</v>
      </c>
    </row>
    <row r="24" spans="1:14" ht="15.75" customHeight="1" x14ac:dyDescent="0.25">
      <c r="A24" s="5" t="s">
        <v>92</v>
      </c>
      <c r="B24" s="11" t="s">
        <v>93</v>
      </c>
      <c r="C24" s="5" t="s">
        <v>94</v>
      </c>
      <c r="D24" s="14">
        <v>150</v>
      </c>
      <c r="E24" s="5">
        <v>30</v>
      </c>
      <c r="F24" s="5" t="str">
        <f>"Not available"</f>
        <v>Not available</v>
      </c>
      <c r="G24" s="13">
        <v>46222</v>
      </c>
      <c r="H24" s="9" t="s">
        <v>136</v>
      </c>
      <c r="I24" t="str">
        <f t="shared" si="0"/>
        <v>Fitness Tracker-Xiaomi</v>
      </c>
    </row>
    <row r="25" spans="1:14" ht="15.75" customHeight="1" x14ac:dyDescent="0.25">
      <c r="A25" s="5" t="s">
        <v>95</v>
      </c>
      <c r="B25" s="11" t="s">
        <v>96</v>
      </c>
      <c r="C25" s="5" t="s">
        <v>97</v>
      </c>
      <c r="D25" s="14">
        <v>800</v>
      </c>
      <c r="E25" s="5">
        <v>45</v>
      </c>
      <c r="F25" s="5" t="s">
        <v>28</v>
      </c>
      <c r="G25" s="13">
        <v>46294</v>
      </c>
      <c r="H25" s="9" t="s">
        <v>131</v>
      </c>
      <c r="I25" t="str">
        <f t="shared" si="0"/>
        <v>Smartphone-Google</v>
      </c>
    </row>
    <row r="26" spans="1:14" ht="15.75" customHeight="1" x14ac:dyDescent="0.25">
      <c r="A26" s="8" t="s">
        <v>98</v>
      </c>
      <c r="B26" s="12" t="s">
        <v>81</v>
      </c>
      <c r="C26" s="8" t="s">
        <v>99</v>
      </c>
      <c r="D26" s="15">
        <v>150</v>
      </c>
      <c r="E26" s="8">
        <v>25</v>
      </c>
      <c r="F26" s="8" t="s">
        <v>32</v>
      </c>
      <c r="G26" s="13">
        <v>46176</v>
      </c>
      <c r="H26" s="9" t="s">
        <v>131</v>
      </c>
      <c r="I26" t="str">
        <f t="shared" si="0"/>
        <v>Sunglasses-Ray-Ban</v>
      </c>
    </row>
    <row r="27" spans="1:14" ht="15.75" customHeight="1" x14ac:dyDescent="0.25">
      <c r="A27" s="5" t="s">
        <v>100</v>
      </c>
      <c r="B27" s="11" t="s">
        <v>51</v>
      </c>
      <c r="C27" s="5" t="s">
        <v>101</v>
      </c>
      <c r="D27" s="14">
        <v>400</v>
      </c>
      <c r="E27" s="5">
        <v>40</v>
      </c>
      <c r="F27" s="5" t="s">
        <v>36</v>
      </c>
      <c r="G27" s="13">
        <v>46214</v>
      </c>
      <c r="H27" s="9" t="s">
        <v>131</v>
      </c>
      <c r="I27" t="str">
        <f t="shared" si="0"/>
        <v>Blender-Vitamix</v>
      </c>
    </row>
    <row r="28" spans="1:14" ht="15.75" customHeight="1" x14ac:dyDescent="0.25">
      <c r="A28" s="5" t="s">
        <v>102</v>
      </c>
      <c r="B28" s="11" t="s">
        <v>103</v>
      </c>
      <c r="C28" s="5" t="s">
        <v>104</v>
      </c>
      <c r="D28" s="14">
        <v>60</v>
      </c>
      <c r="E28" s="5">
        <v>30</v>
      </c>
      <c r="F28" s="5" t="s">
        <v>32</v>
      </c>
      <c r="G28" s="13">
        <v>46088</v>
      </c>
      <c r="H28" s="9" t="s">
        <v>131</v>
      </c>
      <c r="I28" t="str">
        <f t="shared" si="0"/>
        <v>Dress-Zara</v>
      </c>
    </row>
    <row r="29" spans="1:14" ht="15.75" customHeight="1" x14ac:dyDescent="0.25">
      <c r="A29" s="8" t="s">
        <v>105</v>
      </c>
      <c r="B29" s="12" t="s">
        <v>106</v>
      </c>
      <c r="C29" s="8" t="s">
        <v>107</v>
      </c>
      <c r="D29" s="15">
        <v>40</v>
      </c>
      <c r="E29" s="8">
        <v>10</v>
      </c>
      <c r="F29" s="8" t="s">
        <v>36</v>
      </c>
      <c r="G29" s="13">
        <v>46125</v>
      </c>
      <c r="H29" s="9" t="s">
        <v>131</v>
      </c>
      <c r="I29" t="str">
        <f t="shared" si="0"/>
        <v>Toaster-Hamilton</v>
      </c>
    </row>
    <row r="30" spans="1:14" ht="15.75" customHeight="1" x14ac:dyDescent="0.25">
      <c r="A30" s="5" t="s">
        <v>108</v>
      </c>
      <c r="B30" s="11" t="s">
        <v>93</v>
      </c>
      <c r="C30" s="5" t="s">
        <v>109</v>
      </c>
      <c r="D30" s="14">
        <v>130</v>
      </c>
      <c r="E30" s="5">
        <v>5</v>
      </c>
      <c r="F30" s="5" t="s">
        <v>28</v>
      </c>
      <c r="G30" s="13">
        <v>46166</v>
      </c>
      <c r="H30" s="9" t="s">
        <v>131</v>
      </c>
      <c r="I30" t="str">
        <f t="shared" si="0"/>
        <v>Fitness Tracker-Garmin</v>
      </c>
    </row>
    <row r="31" spans="1:14" ht="15.75" customHeight="1" x14ac:dyDescent="0.25">
      <c r="A31" s="8" t="s">
        <v>110</v>
      </c>
      <c r="B31" s="12" t="s">
        <v>111</v>
      </c>
      <c r="C31" s="8" t="s">
        <v>112</v>
      </c>
      <c r="D31" s="15">
        <v>50</v>
      </c>
      <c r="E31" s="8">
        <v>50</v>
      </c>
      <c r="F31" s="8" t="s">
        <v>32</v>
      </c>
      <c r="G31" s="13">
        <v>46358</v>
      </c>
      <c r="H31" s="9" t="s">
        <v>131</v>
      </c>
      <c r="I31" t="str">
        <f t="shared" si="0"/>
        <v>Jeans-Levi's</v>
      </c>
    </row>
    <row r="32" spans="1:14" ht="15.75" customHeight="1" x14ac:dyDescent="0.25">
      <c r="A32" s="8" t="s">
        <v>113</v>
      </c>
      <c r="B32" s="12" t="s">
        <v>114</v>
      </c>
      <c r="C32" s="8" t="s">
        <v>115</v>
      </c>
      <c r="D32" s="15">
        <v>100</v>
      </c>
      <c r="E32" s="8">
        <v>20</v>
      </c>
      <c r="F32" s="8" t="s">
        <v>75</v>
      </c>
      <c r="G32" s="13">
        <v>46212</v>
      </c>
      <c r="H32" s="9" t="s">
        <v>137</v>
      </c>
      <c r="I32" t="str">
        <f t="shared" si="0"/>
        <v>Watch-Casio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K11:L11"/>
    <mergeCell ref="K16:L16"/>
    <mergeCell ref="L17:N17"/>
    <mergeCell ref="K12:L12"/>
    <mergeCell ref="K13:L13"/>
    <mergeCell ref="N12:N13"/>
    <mergeCell ref="K14:L14"/>
  </mergeCells>
  <conditionalFormatting sqref="D2:D3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{9374F14C-18B0-486F-AAF7-72274CBCC997}</x14:id>
        </ext>
      </extLst>
    </cfRule>
  </conditionalFormatting>
  <conditionalFormatting sqref="F2:F32">
    <cfRule type="containsText" dxfId="2" priority="2" operator="containsText" text="Electronics">
      <formula>NOT(ISERROR(SEARCH("Electronics",F2)))</formula>
    </cfRule>
    <cfRule type="cellIs" dxfId="1" priority="3" operator="equal">
      <formula>"""Electronics"""</formula>
    </cfRule>
  </conditionalFormatting>
  <conditionalFormatting sqref="A2:I32">
    <cfRule type="expression" dxfId="0" priority="1">
      <formula>$F2 = 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74F14C-18B0-486F-AAF7-72274CBCC99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Nandu Ramachandran</dc:creator>
  <cp:lastModifiedBy>Nandu Ramachandran</cp:lastModifiedBy>
  <dcterms:created xsi:type="dcterms:W3CDTF">2026-09-22T06:17:56Z</dcterms:created>
  <dcterms:modified xsi:type="dcterms:W3CDTF">2026-09-24T13:10:47Z</dcterms:modified>
</cp:coreProperties>
</file>